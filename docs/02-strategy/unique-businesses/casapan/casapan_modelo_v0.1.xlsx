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" sheetId="1" state="visible" r:id="rId1"/>
    <sheet name="Supuestos" sheetId="2" state="visible" r:id="rId2"/>
    <sheet name="Canales" sheetId="3" state="visible" r:id="rId3"/>
    <sheet name="Registro diario" sheetId="4" state="visible" r:id="rId4"/>
    <sheet name="Compras" sheetId="5" state="visible" r:id="rId5"/>
    <sheet name="RO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DCEBDD"/>
      </patternFill>
    </fill>
    <fill>
      <patternFill patternType="solid">
        <fgColor rgb="00E4E6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2" borderId="0" pivotButton="0" quotePrefix="0" xfId="0"/>
    <xf numFmtId="9" fontId="0" fillId="2" borderId="0" pivotButton="0" quotePrefix="0" xfId="0"/>
    <xf numFmtId="3" fontId="0" fillId="3" borderId="0" pivotButton="0" quotePrefix="0" xfId="0"/>
    <xf numFmtId="0" fontId="0" fillId="2" borderId="0" pivotButton="0" quotePrefix="0" xfId="0"/>
    <xf numFmtId="0" fontId="0" fillId="3" borderId="0" pivotButton="0" quotePrefix="0" xfId="0"/>
    <xf numFmtId="9" fontId="0" fillId="3" borderId="0" pivotButton="0" quotePrefix="0" xfId="0"/>
    <xf numFmtId="0" fontId="2" fillId="4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</cols>
  <sheetData>
    <row r="1">
      <c r="A1" s="1" t="inlineStr">
        <is>
          <t>Casa Pan · Modelo de negocio v0.1</t>
        </is>
      </c>
    </row>
    <row r="2">
      <c r="A2" t="inlineStr">
        <is>
          <t>Amarillo = lo pones tú. Verde = se calcula solo. Fuente de cada número: pestaña Supuestos.</t>
        </is>
      </c>
    </row>
    <row r="3">
      <c r="A3" s="2" t="inlineStr">
        <is>
          <t>PRECIOS Y COSTOS</t>
        </is>
      </c>
    </row>
    <row r="4">
      <c r="A4" t="inlineStr">
        <is>
          <t>Pan, precio venta directa</t>
        </is>
      </c>
      <c r="B4" s="3" t="n">
        <v>120</v>
      </c>
    </row>
    <row r="5">
      <c r="A5" t="inlineStr">
        <is>
          <t>Pan, precio restaurantes</t>
        </is>
      </c>
      <c r="B5" s="3" t="n">
        <v>110</v>
      </c>
    </row>
    <row r="6">
      <c r="A6" t="inlineStr">
        <is>
          <t>Pastry, precio por pieza</t>
        </is>
      </c>
      <c r="B6" s="3" t="n">
        <v>45</v>
      </c>
    </row>
    <row r="7">
      <c r="A7" t="inlineStr">
        <is>
          <t>Costo por pan (materia prima, renta, gas)</t>
        </is>
      </c>
      <c r="B7" s="3" t="n">
        <v>30</v>
      </c>
    </row>
    <row r="8">
      <c r="A8" t="inlineStr">
        <is>
          <t>Costo por pastry</t>
        </is>
      </c>
      <c r="B8" s="3" t="n"/>
    </row>
    <row r="9">
      <c r="A9" t="inlineStr">
        <is>
          <t>% de panes que van a restaurantes</t>
        </is>
      </c>
      <c r="B9" s="4" t="n">
        <v>0.3</v>
      </c>
    </row>
    <row r="10">
      <c r="A10" t="inlineStr">
        <is>
          <t>Ganancia por pan, venta directa</t>
        </is>
      </c>
      <c r="B10" s="5">
        <f>B4-B7</f>
        <v/>
      </c>
    </row>
    <row r="11">
      <c r="A11" t="inlineStr">
        <is>
          <t>Ganancia por pan, restaurantes</t>
        </is>
      </c>
      <c r="B11" s="5">
        <f>B5-B7</f>
        <v/>
      </c>
    </row>
    <row r="12">
      <c r="A12" t="inlineStr">
        <is>
          <t>Ganancia por pastry</t>
        </is>
      </c>
      <c r="B12" s="5">
        <f>IF(B8="","",B6-B8)</f>
        <v/>
      </c>
    </row>
    <row r="13">
      <c r="A13" t="inlineStr">
        <is>
          <t>Ganancia promedio por pan</t>
        </is>
      </c>
      <c r="B13" s="5">
        <f>B10*(1-B9)+B11*B9</f>
        <v/>
      </c>
    </row>
    <row r="15">
      <c r="A15" s="2" t="inlineStr">
        <is>
          <t>LO QUE NECESITAS AL MES</t>
        </is>
      </c>
    </row>
    <row r="16">
      <c r="A16" t="inlineStr">
        <is>
          <t>Tu sueldo</t>
        </is>
      </c>
      <c r="B16" s="3" t="n">
        <v>30000</v>
      </c>
    </row>
    <row r="17">
      <c r="A17" t="inlineStr">
        <is>
          <t>Deudas (pago mensual)</t>
        </is>
      </c>
      <c r="B17" s="3" t="n">
        <v>0</v>
      </c>
    </row>
    <row r="18">
      <c r="A18" t="inlineStr">
        <is>
          <t>Otros gastos fijos (no incluidos en el costo por pan)</t>
        </is>
      </c>
      <c r="B18" s="3" t="n">
        <v>0</v>
      </c>
    </row>
    <row r="19">
      <c r="A19" t="inlineStr">
        <is>
          <t>Semanas por mes</t>
        </is>
      </c>
      <c r="B19" s="6" t="n">
        <v>4.3</v>
      </c>
    </row>
    <row r="20">
      <c r="A20" t="inlineStr">
        <is>
          <t>Total que necesitas al mes</t>
        </is>
      </c>
      <c r="B20" s="5">
        <f>SUM(B16:B18)</f>
        <v/>
      </c>
    </row>
    <row r="22">
      <c r="A22" s="2" t="inlineStr">
        <is>
          <t>PUNTO DE EQUILIBRIO</t>
        </is>
      </c>
    </row>
    <row r="23">
      <c r="A23" t="inlineStr">
        <is>
          <t>Panes por semana para cubrirlo</t>
        </is>
      </c>
      <c r="B23" s="7">
        <f>ROUNDUP(B20/B19/B13,0)</f>
        <v/>
      </c>
    </row>
    <row r="24">
      <c r="A24" t="inlineStr">
        <is>
          <t>Panes por día de venta (días de venta por semana →)</t>
        </is>
      </c>
      <c r="B24" s="7">
        <f>ROUNDUP(B23/C24,0)</f>
        <v/>
      </c>
      <c r="C24" s="6" t="n">
        <v>4</v>
      </c>
    </row>
    <row r="25">
      <c r="A25" t="inlineStr">
        <is>
          <t>Mejor temporada, panes por semana</t>
        </is>
      </c>
      <c r="B25" s="6" t="n">
        <v>450</v>
      </c>
    </row>
    <row r="26">
      <c r="A26" t="inlineStr">
        <is>
          <t>% de tu mejor temporada</t>
        </is>
      </c>
      <c r="B26" s="8">
        <f>B23/B25</f>
        <v/>
      </c>
    </row>
    <row r="28">
      <c r="A28" s="2" t="inlineStr">
        <is>
          <t>CAPACIDAD (solo, sin empleados)</t>
        </is>
      </c>
    </row>
    <row r="29">
      <c r="A29" t="inlineStr">
        <is>
          <t>Máximo de panes que puedes hornear solo por día</t>
        </is>
      </c>
      <c r="B29" s="6" t="n"/>
    </row>
    <row r="30">
      <c r="A30" t="inlineStr">
        <is>
          <t>Días de horneado por semana</t>
        </is>
      </c>
      <c r="B30" s="6" t="n">
        <v>4</v>
      </c>
    </row>
    <row r="31">
      <c r="A31" t="inlineStr">
        <is>
          <t>Capacidad por semana</t>
        </is>
      </c>
      <c r="B31" s="7">
        <f>IF(B29="","",B29*B30)</f>
        <v/>
      </c>
    </row>
    <row r="32">
      <c r="A32" t="inlineStr">
        <is>
          <t>¿Cubre el equilibrio?</t>
        </is>
      </c>
      <c r="B32" s="7">
        <f>IF(B31="","falta dato",IF(B31&gt;=B23,"sí","no"))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0" customWidth="1" min="3" max="3"/>
    <col width="12" customWidth="1" min="4" max="4"/>
    <col width="44" customWidth="1" min="5" max="5"/>
  </cols>
  <sheetData>
    <row r="1">
      <c r="A1" s="9" t="inlineStr">
        <is>
          <t>Dato</t>
        </is>
      </c>
      <c r="B1" s="9" t="inlineStr">
        <is>
          <t>Valor</t>
        </is>
      </c>
      <c r="C1" s="9" t="inlineStr">
        <is>
          <t>Fuente</t>
        </is>
      </c>
      <c r="D1" s="9" t="inlineStr">
        <is>
          <t>Confianza</t>
        </is>
      </c>
      <c r="E1" s="9" t="inlineStr">
        <is>
          <t>Notas</t>
        </is>
      </c>
    </row>
    <row r="2">
      <c r="A2" t="inlineStr">
        <is>
          <t>Precio pan venta directa</t>
        </is>
      </c>
      <c r="B2" t="n">
        <v>120</v>
      </c>
      <c r="C2" t="inlineStr">
        <is>
          <t>Sasha, 15 oct</t>
        </is>
      </c>
      <c r="D2" t="inlineStr">
        <is>
          <t>Alta</t>
        </is>
      </c>
    </row>
    <row r="3">
      <c r="A3" t="inlineStr">
        <is>
          <t>Precio pan restaurantes</t>
        </is>
      </c>
      <c r="B3" t="n">
        <v>110</v>
      </c>
      <c r="C3" t="inlineStr">
        <is>
          <t>Sasha, 15 oct</t>
        </is>
      </c>
      <c r="D3" t="inlineStr">
        <is>
          <t>Alta</t>
        </is>
      </c>
    </row>
    <row r="4">
      <c r="A4" t="inlineStr">
        <is>
          <t>Precio pastry</t>
        </is>
      </c>
      <c r="B4" t="n">
        <v>45</v>
      </c>
      <c r="C4" t="inlineStr">
        <is>
          <t>Sasha, 15 oct</t>
        </is>
      </c>
      <c r="D4" t="inlineStr">
        <is>
          <t>Alta</t>
        </is>
      </c>
      <c r="E4" t="inlineStr">
        <is>
          <t>croissant, pan de chocolate</t>
        </is>
      </c>
    </row>
    <row r="5">
      <c r="A5" t="inlineStr">
        <is>
          <t>Costo por pan sin sueldos</t>
        </is>
      </c>
      <c r="B5" t="n">
        <v>30</v>
      </c>
      <c r="C5" t="inlineStr">
        <is>
          <t>Benjamin, sesión 1 [37:57]</t>
        </is>
      </c>
      <c r="D5" t="inlineStr">
        <is>
          <t>Media</t>
        </is>
      </c>
      <c r="E5" t="inlineStr">
        <is>
          <t>dice que incluye renta y gas: confirmar</t>
        </is>
      </c>
    </row>
    <row r="6">
      <c r="A6" t="inlineStr">
        <is>
          <t>Margen ~50% que recuerda</t>
        </is>
      </c>
      <c r="B6" t="inlineStr">
        <is>
          <t>~60 de 120</t>
        </is>
      </c>
      <c r="C6" t="inlineStr">
        <is>
          <t>Benjamin, S1 [38:10]</t>
        </is>
      </c>
      <c r="D6" t="inlineStr">
        <is>
          <t>Baja</t>
        </is>
      </c>
      <c r="E6" t="inlineStr">
        <is>
          <t>probablemente con sueldos</t>
        </is>
      </c>
    </row>
    <row r="7">
      <c r="A7" t="inlineStr">
        <is>
          <t>% restaurantes</t>
        </is>
      </c>
      <c r="B7" t="n">
        <v>0.3</v>
      </c>
      <c r="C7" t="inlineStr">
        <is>
          <t>Estimado</t>
        </is>
      </c>
      <c r="D7" t="inlineStr">
        <is>
          <t>Baja</t>
        </is>
      </c>
      <c r="E7" t="inlineStr">
        <is>
          <t>reemplazar con datos</t>
        </is>
      </c>
    </row>
    <row r="8">
      <c r="A8" t="inlineStr">
        <is>
          <t>Mejor temporada, panes/semana</t>
        </is>
      </c>
      <c r="B8" t="inlineStr">
        <is>
          <t>400–500</t>
        </is>
      </c>
      <c r="C8" t="inlineStr">
        <is>
          <t>Benjamin, S1 [16:19]</t>
        </is>
      </c>
      <c r="D8" t="inlineStr">
        <is>
          <t>Media</t>
        </is>
      </c>
    </row>
    <row r="9">
      <c r="A9" t="inlineStr">
        <is>
          <t>Harina enero mejor temporada</t>
        </is>
      </c>
      <c r="B9" t="inlineStr">
        <is>
          <t>~2,000 kg</t>
        </is>
      </c>
      <c r="C9" t="inlineStr">
        <is>
          <t>Benjamin, S1 [17:25]</t>
        </is>
      </c>
      <c r="D9" t="inlineStr">
        <is>
          <t>Media</t>
        </is>
      </c>
      <c r="E9" t="inlineStr">
        <is>
          <t>dijo 3 t, luego corrigió</t>
        </is>
      </c>
    </row>
    <row r="10">
      <c r="A10" t="inlineStr">
        <is>
          <t>Costal harina 25 kg</t>
        </is>
      </c>
      <c r="B10" t="inlineStr">
        <is>
          <t>~500 MXN</t>
        </is>
      </c>
      <c r="C10" t="inlineStr">
        <is>
          <t>Benjamin, S1 [36:34]</t>
        </is>
      </c>
      <c r="D10" t="inlineStr">
        <is>
          <t>Media</t>
        </is>
      </c>
      <c r="E10" t="inlineStr">
        <is>
          <t>antes ~300</t>
        </is>
      </c>
    </row>
    <row r="11">
      <c r="A11" t="inlineStr">
        <is>
          <t>Temporada</t>
        </is>
      </c>
      <c r="B11" t="inlineStr">
        <is>
          <t>nov → may/jun</t>
        </is>
      </c>
      <c r="C11" t="inlineStr">
        <is>
          <t>Benjamin, S1 [39:43]</t>
        </is>
      </c>
      <c r="D11" t="inlineStr">
        <is>
          <t>Alta</t>
        </is>
      </c>
      <c r="E11" t="inlineStr">
        <is>
          <t>~70% de la gente se va con el calor</t>
        </is>
      </c>
    </row>
    <row r="12">
      <c r="A12" t="inlineStr">
        <is>
          <t>Plan vs real temporada pasada</t>
        </is>
      </c>
      <c r="B12" t="inlineStr">
        <is>
          <t>10 → 4</t>
        </is>
      </c>
      <c r="C12" t="inlineStr">
        <is>
          <t>Benjamin, S1 [39:23]</t>
        </is>
      </c>
      <c r="D12" t="inlineStr">
        <is>
          <t>Media</t>
        </is>
      </c>
    </row>
    <row r="13">
      <c r="A13" t="inlineStr">
        <is>
          <t>Vida de la harina en el calor</t>
        </is>
      </c>
      <c r="B13" t="inlineStr">
        <is>
          <t>7–10 días en el piso</t>
        </is>
      </c>
      <c r="C13" t="inlineStr">
        <is>
          <t>Benjamin, S1 [26:39]</t>
        </is>
      </c>
      <c r="D13" t="inlineStr">
        <is>
          <t>Media</t>
        </is>
      </c>
      <c r="E13" t="inlineStr">
        <is>
          <t>centeno/kamut tardan 10–15 días en llegar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38" customWidth="1" min="4" max="4"/>
    <col width="14" customWidth="1" min="5" max="5"/>
  </cols>
  <sheetData>
    <row r="1">
      <c r="A1" s="9" t="inlineStr">
        <is>
          <t>Canal</t>
        </is>
      </c>
      <c r="B1" s="9" t="inlineStr">
        <is>
          <t>Panes/semana (mejor temporada)</t>
        </is>
      </c>
      <c r="C1" s="9" t="inlineStr">
        <is>
          <t>Precio</t>
        </is>
      </c>
      <c r="D1" s="9" t="inlineStr">
        <is>
          <t>Notas</t>
        </is>
      </c>
      <c r="E1" s="9" t="inlineStr">
        <is>
          <t>Fuente</t>
        </is>
      </c>
    </row>
    <row r="2">
      <c r="A2" t="inlineStr">
        <is>
          <t>Mercado San Pancho</t>
        </is>
      </c>
      <c r="B2" t="inlineStr">
        <is>
          <t>150–170 por día de mercado</t>
        </is>
      </c>
      <c r="C2" t="n">
        <v>120</v>
      </c>
      <c r="D2" t="inlineStr">
        <is>
          <t>se acaba en ~2 h en días buenos</t>
        </is>
      </c>
      <c r="E2" t="inlineStr">
        <is>
          <t>S1 [15:54]</t>
        </is>
      </c>
    </row>
    <row r="3">
      <c r="A3" t="inlineStr">
        <is>
          <t>Restaurantes locales</t>
        </is>
      </c>
      <c r="B3" t="inlineStr">
        <is>
          <t>100–150</t>
        </is>
      </c>
      <c r="C3" t="n">
        <v>110</v>
      </c>
      <c r="E3" t="inlineStr">
        <is>
          <t>S1 [16:19]</t>
        </is>
      </c>
    </row>
    <row r="4">
      <c r="A4" t="inlineStr">
        <is>
          <t>Lo de Marcos</t>
        </is>
      </c>
      <c r="B4" t="inlineStr">
        <is>
          <t>30–40</t>
        </is>
      </c>
      <c r="C4" t="n">
        <v>110</v>
      </c>
      <c r="D4" t="inlineStr">
        <is>
          <t>un lugar</t>
        </is>
      </c>
      <c r="E4" t="inlineStr">
        <is>
          <t>S1 [35:01]</t>
        </is>
      </c>
    </row>
    <row r="5">
      <c r="A5" t="inlineStr">
        <is>
          <t>Sayulita</t>
        </is>
      </c>
      <c r="B5" t="inlineStr">
        <is>
          <t>~50 piezas</t>
        </is>
      </c>
      <c r="C5" t="n">
        <v>110</v>
      </c>
      <c r="D5" t="inlineStr">
        <is>
          <t>esta semana: 10 panes + 50 bagels</t>
        </is>
      </c>
      <c r="E5" t="inlineStr">
        <is>
          <t>S1 [35:01]</t>
        </is>
      </c>
    </row>
    <row r="6">
      <c r="A6" t="inlineStr">
        <is>
          <t>Viernes en la tienda</t>
        </is>
      </c>
      <c r="B6" t="inlineStr">
        <is>
          <t>~100</t>
        </is>
      </c>
      <c r="C6" t="n">
        <v>120</v>
      </c>
      <c r="E6" t="inlineStr">
        <is>
          <t>S1 [16:19]</t>
        </is>
      </c>
    </row>
    <row r="7">
      <c r="A7" t="inlineStr">
        <is>
          <t>WhatsApp</t>
        </is>
      </c>
      <c r="B7" t="inlineStr">
        <is>
          <t>?</t>
        </is>
      </c>
      <c r="C7" t="n">
        <v>120</v>
      </c>
      <c r="D7" t="inlineStr">
        <is>
          <t>mensajes a las 10 pm</t>
        </is>
      </c>
      <c r="E7" t="inlineStr">
        <is>
          <t>S1 [53:13]</t>
        </is>
      </c>
    </row>
    <row r="8">
      <c r="A8" t="inlineStr">
        <is>
          <t>Retiros</t>
        </is>
      </c>
      <c r="B8" t="inlineStr">
        <is>
          <t>?</t>
        </is>
      </c>
      <c r="D8" t="inlineStr">
        <is>
          <t>cancelados hasta enero</t>
        </is>
      </c>
      <c r="E8" t="inlineStr">
        <is>
          <t>S1 [42:01]</t>
        </is>
      </c>
    </row>
    <row r="9">
      <c r="A9" t="inlineStr">
        <is>
          <t>Airbnb / rentas</t>
        </is>
      </c>
      <c r="B9" t="inlineStr">
        <is>
          <t>?</t>
        </is>
      </c>
      <c r="D9" t="inlineStr">
        <is>
          <t>llenos en Navidad, bajan en enero</t>
        </is>
      </c>
      <c r="E9" t="inlineStr">
        <is>
          <t>S1 [42:41]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3" customWidth="1" min="4" max="4"/>
    <col width="11" customWidth="1" min="5" max="5"/>
    <col width="10" customWidth="1" min="6" max="6"/>
    <col width="10" customWidth="1" min="7" max="7"/>
    <col width="18" customWidth="1" min="8" max="8"/>
    <col width="18" customWidth="1" min="9" max="9"/>
    <col width="12" customWidth="1" min="10" max="10"/>
    <col width="20" customWidth="1" min="11" max="11"/>
  </cols>
  <sheetData>
    <row r="1">
      <c r="A1" t="inlineStr">
        <is>
          <t>Una línea por producto por día de venta. Lo más valioso: la hora en que se acabó.</t>
        </is>
      </c>
    </row>
    <row r="2">
      <c r="A2" s="9" t="inlineStr">
        <is>
          <t>Fecha</t>
        </is>
      </c>
      <c r="B2" s="9" t="inlineStr">
        <is>
          <t>Semana</t>
        </is>
      </c>
      <c r="C2" s="9" t="inlineStr">
        <is>
          <t>Canal</t>
        </is>
      </c>
      <c r="D2" s="9" t="inlineStr">
        <is>
          <t>Producto</t>
        </is>
      </c>
      <c r="E2" s="9" t="inlineStr">
        <is>
          <t>Horneados</t>
        </is>
      </c>
      <c r="F2" s="9" t="inlineStr">
        <is>
          <t>Vendidos</t>
        </is>
      </c>
      <c r="G2" s="9" t="inlineStr">
        <is>
          <t>Sobraron</t>
        </is>
      </c>
      <c r="H2" s="9" t="inlineStr">
        <is>
          <t>Hora en que se acabó</t>
        </is>
      </c>
      <c r="I2" s="9" t="inlineStr">
        <is>
          <t>Apuntados en la lista</t>
        </is>
      </c>
      <c r="J2" s="9" t="inlineStr">
        <is>
          <t>Ganancia ($)</t>
        </is>
      </c>
      <c r="K2" s="9" t="inlineStr">
        <is>
          <t>Pérdida por sobrante ($)</t>
        </is>
      </c>
    </row>
    <row r="3">
      <c r="A3" s="10" t="n"/>
      <c r="B3">
        <f>IF(A3="","",ISOWEEKNUM(A3))</f>
        <v/>
      </c>
      <c r="G3">
        <f>IF(E3="","",E3-F3)</f>
        <v/>
      </c>
      <c r="J3">
        <f>IF(F3="","",(F3+I3)*IF(D3="Pastry",Modelo!$B$12,IF(C3="Restaurante",Modelo!$B$11,Modelo!$B$10)))</f>
        <v/>
      </c>
      <c r="K3">
        <f>IF(G3="","",G3*IF(D3="Pastry",Modelo!$B$8,Modelo!$B$7))</f>
        <v/>
      </c>
    </row>
    <row r="4">
      <c r="A4" s="10" t="n"/>
      <c r="B4">
        <f>IF(A4="","",ISOWEEKNUM(A4))</f>
        <v/>
      </c>
      <c r="G4">
        <f>IF(E4="","",E4-F4)</f>
        <v/>
      </c>
      <c r="J4">
        <f>IF(F4="","",(F4+I4)*IF(D4="Pastry",Modelo!$B$12,IF(C4="Restaurante",Modelo!$B$11,Modelo!$B$10)))</f>
        <v/>
      </c>
      <c r="K4">
        <f>IF(G4="","",G4*IF(D4="Pastry",Modelo!$B$8,Modelo!$B$7))</f>
        <v/>
      </c>
    </row>
    <row r="5">
      <c r="A5" s="10" t="n"/>
      <c r="B5">
        <f>IF(A5="","",ISOWEEKNUM(A5))</f>
        <v/>
      </c>
      <c r="G5">
        <f>IF(E5="","",E5-F5)</f>
        <v/>
      </c>
      <c r="J5">
        <f>IF(F5="","",(F5+I5)*IF(D5="Pastry",Modelo!$B$12,IF(C5="Restaurante",Modelo!$B$11,Modelo!$B$10)))</f>
        <v/>
      </c>
      <c r="K5">
        <f>IF(G5="","",G5*IF(D5="Pastry",Modelo!$B$8,Modelo!$B$7))</f>
        <v/>
      </c>
    </row>
    <row r="6">
      <c r="A6" s="10" t="n"/>
      <c r="B6">
        <f>IF(A6="","",ISOWEEKNUM(A6))</f>
        <v/>
      </c>
      <c r="G6">
        <f>IF(E6="","",E6-F6)</f>
        <v/>
      </c>
      <c r="J6">
        <f>IF(F6="","",(F6+I6)*IF(D6="Pastry",Modelo!$B$12,IF(C6="Restaurante",Modelo!$B$11,Modelo!$B$10)))</f>
        <v/>
      </c>
      <c r="K6">
        <f>IF(G6="","",G6*IF(D6="Pastry",Modelo!$B$8,Modelo!$B$7))</f>
        <v/>
      </c>
    </row>
    <row r="7">
      <c r="A7" s="10" t="n"/>
      <c r="B7">
        <f>IF(A7="","",ISOWEEKNUM(A7))</f>
        <v/>
      </c>
      <c r="G7">
        <f>IF(E7="","",E7-F7)</f>
        <v/>
      </c>
      <c r="J7">
        <f>IF(F7="","",(F7+I7)*IF(D7="Pastry",Modelo!$B$12,IF(C7="Restaurante",Modelo!$B$11,Modelo!$B$10)))</f>
        <v/>
      </c>
      <c r="K7">
        <f>IF(G7="","",G7*IF(D7="Pastry",Modelo!$B$8,Modelo!$B$7))</f>
        <v/>
      </c>
    </row>
    <row r="8">
      <c r="A8" s="10" t="n"/>
      <c r="B8">
        <f>IF(A8="","",ISOWEEKNUM(A8))</f>
        <v/>
      </c>
      <c r="G8">
        <f>IF(E8="","",E8-F8)</f>
        <v/>
      </c>
      <c r="J8">
        <f>IF(F8="","",(F8+I8)*IF(D8="Pastry",Modelo!$B$12,IF(C8="Restaurante",Modelo!$B$11,Modelo!$B$10)))</f>
        <v/>
      </c>
      <c r="K8">
        <f>IF(G8="","",G8*IF(D8="Pastry",Modelo!$B$8,Modelo!$B$7))</f>
        <v/>
      </c>
    </row>
    <row r="9">
      <c r="A9" s="10" t="n"/>
      <c r="B9">
        <f>IF(A9="","",ISOWEEKNUM(A9))</f>
        <v/>
      </c>
      <c r="G9">
        <f>IF(E9="","",E9-F9)</f>
        <v/>
      </c>
      <c r="J9">
        <f>IF(F9="","",(F9+I9)*IF(D9="Pastry",Modelo!$B$12,IF(C9="Restaurante",Modelo!$B$11,Modelo!$B$10)))</f>
        <v/>
      </c>
      <c r="K9">
        <f>IF(G9="","",G9*IF(D9="Pastry",Modelo!$B$8,Modelo!$B$7))</f>
        <v/>
      </c>
    </row>
    <row r="10">
      <c r="A10" s="10" t="n"/>
      <c r="B10">
        <f>IF(A10="","",ISOWEEKNUM(A10))</f>
        <v/>
      </c>
      <c r="G10">
        <f>IF(E10="","",E10-F10)</f>
        <v/>
      </c>
      <c r="J10">
        <f>IF(F10="","",(F10+I10)*IF(D10="Pastry",Modelo!$B$12,IF(C10="Restaurante",Modelo!$B$11,Modelo!$B$10)))</f>
        <v/>
      </c>
      <c r="K10">
        <f>IF(G10="","",G10*IF(D10="Pastry",Modelo!$B$8,Modelo!$B$7))</f>
        <v/>
      </c>
    </row>
    <row r="11">
      <c r="A11" s="10" t="n"/>
      <c r="B11">
        <f>IF(A11="","",ISOWEEKNUM(A11))</f>
        <v/>
      </c>
      <c r="G11">
        <f>IF(E11="","",E11-F11)</f>
        <v/>
      </c>
      <c r="J11">
        <f>IF(F11="","",(F11+I11)*IF(D11="Pastry",Modelo!$B$12,IF(C11="Restaurante",Modelo!$B$11,Modelo!$B$10)))</f>
        <v/>
      </c>
      <c r="K11">
        <f>IF(G11="","",G11*IF(D11="Pastry",Modelo!$B$8,Modelo!$B$7))</f>
        <v/>
      </c>
    </row>
    <row r="12">
      <c r="A12" s="10" t="n"/>
      <c r="B12">
        <f>IF(A12="","",ISOWEEKNUM(A12))</f>
        <v/>
      </c>
      <c r="G12">
        <f>IF(E12="","",E12-F12)</f>
        <v/>
      </c>
      <c r="J12">
        <f>IF(F12="","",(F12+I12)*IF(D12="Pastry",Modelo!$B$12,IF(C12="Restaurante",Modelo!$B$11,Modelo!$B$10)))</f>
        <v/>
      </c>
      <c r="K12">
        <f>IF(G12="","",G12*IF(D12="Pastry",Modelo!$B$8,Modelo!$B$7))</f>
        <v/>
      </c>
    </row>
    <row r="13">
      <c r="A13" s="10" t="n"/>
      <c r="B13">
        <f>IF(A13="","",ISOWEEKNUM(A13))</f>
        <v/>
      </c>
      <c r="G13">
        <f>IF(E13="","",E13-F13)</f>
        <v/>
      </c>
      <c r="J13">
        <f>IF(F13="","",(F13+I13)*IF(D13="Pastry",Modelo!$B$12,IF(C13="Restaurante",Modelo!$B$11,Modelo!$B$10)))</f>
        <v/>
      </c>
      <c r="K13">
        <f>IF(G13="","",G13*IF(D13="Pastry",Modelo!$B$8,Modelo!$B$7))</f>
        <v/>
      </c>
    </row>
    <row r="14">
      <c r="A14" s="10" t="n"/>
      <c r="B14">
        <f>IF(A14="","",ISOWEEKNUM(A14))</f>
        <v/>
      </c>
      <c r="G14">
        <f>IF(E14="","",E14-F14)</f>
        <v/>
      </c>
      <c r="J14">
        <f>IF(F14="","",(F14+I14)*IF(D14="Pastry",Modelo!$B$12,IF(C14="Restaurante",Modelo!$B$11,Modelo!$B$10)))</f>
        <v/>
      </c>
      <c r="K14">
        <f>IF(G14="","",G14*IF(D14="Pastry",Modelo!$B$8,Modelo!$B$7))</f>
        <v/>
      </c>
    </row>
    <row r="15">
      <c r="A15" s="10" t="n"/>
      <c r="B15">
        <f>IF(A15="","",ISOWEEKNUM(A15))</f>
        <v/>
      </c>
      <c r="G15">
        <f>IF(E15="","",E15-F15)</f>
        <v/>
      </c>
      <c r="J15">
        <f>IF(F15="","",(F15+I15)*IF(D15="Pastry",Modelo!$B$12,IF(C15="Restaurante",Modelo!$B$11,Modelo!$B$10)))</f>
        <v/>
      </c>
      <c r="K15">
        <f>IF(G15="","",G15*IF(D15="Pastry",Modelo!$B$8,Modelo!$B$7))</f>
        <v/>
      </c>
    </row>
    <row r="16">
      <c r="A16" s="10" t="n"/>
      <c r="B16">
        <f>IF(A16="","",ISOWEEKNUM(A16))</f>
        <v/>
      </c>
      <c r="G16">
        <f>IF(E16="","",E16-F16)</f>
        <v/>
      </c>
      <c r="J16">
        <f>IF(F16="","",(F16+I16)*IF(D16="Pastry",Modelo!$B$12,IF(C16="Restaurante",Modelo!$B$11,Modelo!$B$10)))</f>
        <v/>
      </c>
      <c r="K16">
        <f>IF(G16="","",G16*IF(D16="Pastry",Modelo!$B$8,Modelo!$B$7))</f>
        <v/>
      </c>
    </row>
    <row r="17">
      <c r="A17" s="10" t="n"/>
      <c r="B17">
        <f>IF(A17="","",ISOWEEKNUM(A17))</f>
        <v/>
      </c>
      <c r="G17">
        <f>IF(E17="","",E17-F17)</f>
        <v/>
      </c>
      <c r="J17">
        <f>IF(F17="","",(F17+I17)*IF(D17="Pastry",Modelo!$B$12,IF(C17="Restaurante",Modelo!$B$11,Modelo!$B$10)))</f>
        <v/>
      </c>
      <c r="K17">
        <f>IF(G17="","",G17*IF(D17="Pastry",Modelo!$B$8,Modelo!$B$7))</f>
        <v/>
      </c>
    </row>
    <row r="18">
      <c r="A18" s="10" t="n"/>
      <c r="B18">
        <f>IF(A18="","",ISOWEEKNUM(A18))</f>
        <v/>
      </c>
      <c r="G18">
        <f>IF(E18="","",E18-F18)</f>
        <v/>
      </c>
      <c r="J18">
        <f>IF(F18="","",(F18+I18)*IF(D18="Pastry",Modelo!$B$12,IF(C18="Restaurante",Modelo!$B$11,Modelo!$B$10)))</f>
        <v/>
      </c>
      <c r="K18">
        <f>IF(G18="","",G18*IF(D18="Pastry",Modelo!$B$8,Modelo!$B$7))</f>
        <v/>
      </c>
    </row>
    <row r="19">
      <c r="A19" s="10" t="n"/>
      <c r="B19">
        <f>IF(A19="","",ISOWEEKNUM(A19))</f>
        <v/>
      </c>
      <c r="G19">
        <f>IF(E19="","",E19-F19)</f>
        <v/>
      </c>
      <c r="J19">
        <f>IF(F19="","",(F19+I19)*IF(D19="Pastry",Modelo!$B$12,IF(C19="Restaurante",Modelo!$B$11,Modelo!$B$10)))</f>
        <v/>
      </c>
      <c r="K19">
        <f>IF(G19="","",G19*IF(D19="Pastry",Modelo!$B$8,Modelo!$B$7))</f>
        <v/>
      </c>
    </row>
    <row r="20">
      <c r="A20" s="10" t="n"/>
      <c r="B20">
        <f>IF(A20="","",ISOWEEKNUM(A20))</f>
        <v/>
      </c>
      <c r="G20">
        <f>IF(E20="","",E20-F20)</f>
        <v/>
      </c>
      <c r="J20">
        <f>IF(F20="","",(F20+I20)*IF(D20="Pastry",Modelo!$B$12,IF(C20="Restaurante",Modelo!$B$11,Modelo!$B$10)))</f>
        <v/>
      </c>
      <c r="K20">
        <f>IF(G20="","",G20*IF(D20="Pastry",Modelo!$B$8,Modelo!$B$7))</f>
        <v/>
      </c>
    </row>
    <row r="21">
      <c r="A21" s="10" t="n"/>
      <c r="B21">
        <f>IF(A21="","",ISOWEEKNUM(A21))</f>
        <v/>
      </c>
      <c r="G21">
        <f>IF(E21="","",E21-F21)</f>
        <v/>
      </c>
      <c r="J21">
        <f>IF(F21="","",(F21+I21)*IF(D21="Pastry",Modelo!$B$12,IF(C21="Restaurante",Modelo!$B$11,Modelo!$B$10)))</f>
        <v/>
      </c>
      <c r="K21">
        <f>IF(G21="","",G21*IF(D21="Pastry",Modelo!$B$8,Modelo!$B$7))</f>
        <v/>
      </c>
    </row>
    <row r="22">
      <c r="A22" s="10" t="n"/>
      <c r="B22">
        <f>IF(A22="","",ISOWEEKNUM(A22))</f>
        <v/>
      </c>
      <c r="G22">
        <f>IF(E22="","",E22-F22)</f>
        <v/>
      </c>
      <c r="J22">
        <f>IF(F22="","",(F22+I22)*IF(D22="Pastry",Modelo!$B$12,IF(C22="Restaurante",Modelo!$B$11,Modelo!$B$10)))</f>
        <v/>
      </c>
      <c r="K22">
        <f>IF(G22="","",G22*IF(D22="Pastry",Modelo!$B$8,Modelo!$B$7))</f>
        <v/>
      </c>
    </row>
    <row r="23">
      <c r="A23" s="10" t="n"/>
      <c r="B23">
        <f>IF(A23="","",ISOWEEKNUM(A23))</f>
        <v/>
      </c>
      <c r="G23">
        <f>IF(E23="","",E23-F23)</f>
        <v/>
      </c>
      <c r="J23">
        <f>IF(F23="","",(F23+I23)*IF(D23="Pastry",Modelo!$B$12,IF(C23="Restaurante",Modelo!$B$11,Modelo!$B$10)))</f>
        <v/>
      </c>
      <c r="K23">
        <f>IF(G23="","",G23*IF(D23="Pastry",Modelo!$B$8,Modelo!$B$7))</f>
        <v/>
      </c>
    </row>
    <row r="24">
      <c r="A24" s="10" t="n"/>
      <c r="B24">
        <f>IF(A24="","",ISOWEEKNUM(A24))</f>
        <v/>
      </c>
      <c r="G24">
        <f>IF(E24="","",E24-F24)</f>
        <v/>
      </c>
      <c r="J24">
        <f>IF(F24="","",(F24+I24)*IF(D24="Pastry",Modelo!$B$12,IF(C24="Restaurante",Modelo!$B$11,Modelo!$B$10)))</f>
        <v/>
      </c>
      <c r="K24">
        <f>IF(G24="","",G24*IF(D24="Pastry",Modelo!$B$8,Modelo!$B$7))</f>
        <v/>
      </c>
    </row>
    <row r="25">
      <c r="A25" s="10" t="n"/>
      <c r="B25">
        <f>IF(A25="","",ISOWEEKNUM(A25))</f>
        <v/>
      </c>
      <c r="G25">
        <f>IF(E25="","",E25-F25)</f>
        <v/>
      </c>
      <c r="J25">
        <f>IF(F25="","",(F25+I25)*IF(D25="Pastry",Modelo!$B$12,IF(C25="Restaurante",Modelo!$B$11,Modelo!$B$10)))</f>
        <v/>
      </c>
      <c r="K25">
        <f>IF(G25="","",G25*IF(D25="Pastry",Modelo!$B$8,Modelo!$B$7))</f>
        <v/>
      </c>
    </row>
    <row r="26">
      <c r="A26" s="10" t="n"/>
      <c r="B26">
        <f>IF(A26="","",ISOWEEKNUM(A26))</f>
        <v/>
      </c>
      <c r="G26">
        <f>IF(E26="","",E26-F26)</f>
        <v/>
      </c>
      <c r="J26">
        <f>IF(F26="","",(F26+I26)*IF(D26="Pastry",Modelo!$B$12,IF(C26="Restaurante",Modelo!$B$11,Modelo!$B$10)))</f>
        <v/>
      </c>
      <c r="K26">
        <f>IF(G26="","",G26*IF(D26="Pastry",Modelo!$B$8,Modelo!$B$7))</f>
        <v/>
      </c>
    </row>
    <row r="27">
      <c r="A27" s="10" t="n"/>
      <c r="B27">
        <f>IF(A27="","",ISOWEEKNUM(A27))</f>
        <v/>
      </c>
      <c r="G27">
        <f>IF(E27="","",E27-F27)</f>
        <v/>
      </c>
      <c r="J27">
        <f>IF(F27="","",(F27+I27)*IF(D27="Pastry",Modelo!$B$12,IF(C27="Restaurante",Modelo!$B$11,Modelo!$B$10)))</f>
        <v/>
      </c>
      <c r="K27">
        <f>IF(G27="","",G27*IF(D27="Pastry",Modelo!$B$8,Modelo!$B$7))</f>
        <v/>
      </c>
    </row>
    <row r="28">
      <c r="A28" s="10" t="n"/>
      <c r="B28">
        <f>IF(A28="","",ISOWEEKNUM(A28))</f>
        <v/>
      </c>
      <c r="G28">
        <f>IF(E28="","",E28-F28)</f>
        <v/>
      </c>
      <c r="J28">
        <f>IF(F28="","",(F28+I28)*IF(D28="Pastry",Modelo!$B$12,IF(C28="Restaurante",Modelo!$B$11,Modelo!$B$10)))</f>
        <v/>
      </c>
      <c r="K28">
        <f>IF(G28="","",G28*IF(D28="Pastry",Modelo!$B$8,Modelo!$B$7))</f>
        <v/>
      </c>
    </row>
    <row r="29">
      <c r="A29" s="10" t="n"/>
      <c r="B29">
        <f>IF(A29="","",ISOWEEKNUM(A29))</f>
        <v/>
      </c>
      <c r="G29">
        <f>IF(E29="","",E29-F29)</f>
        <v/>
      </c>
      <c r="J29">
        <f>IF(F29="","",(F29+I29)*IF(D29="Pastry",Modelo!$B$12,IF(C29="Restaurante",Modelo!$B$11,Modelo!$B$10)))</f>
        <v/>
      </c>
      <c r="K29">
        <f>IF(G29="","",G29*IF(D29="Pastry",Modelo!$B$8,Modelo!$B$7))</f>
        <v/>
      </c>
    </row>
    <row r="30">
      <c r="A30" s="10" t="n"/>
      <c r="B30">
        <f>IF(A30="","",ISOWEEKNUM(A30))</f>
        <v/>
      </c>
      <c r="G30">
        <f>IF(E30="","",E30-F30)</f>
        <v/>
      </c>
      <c r="J30">
        <f>IF(F30="","",(F30+I30)*IF(D30="Pastry",Modelo!$B$12,IF(C30="Restaurante",Modelo!$B$11,Modelo!$B$10)))</f>
        <v/>
      </c>
      <c r="K30">
        <f>IF(G30="","",G30*IF(D30="Pastry",Modelo!$B$8,Modelo!$B$7))</f>
        <v/>
      </c>
    </row>
    <row r="31">
      <c r="A31" s="10" t="n"/>
      <c r="B31">
        <f>IF(A31="","",ISOWEEKNUM(A31))</f>
        <v/>
      </c>
      <c r="G31">
        <f>IF(E31="","",E31-F31)</f>
        <v/>
      </c>
      <c r="J31">
        <f>IF(F31="","",(F31+I31)*IF(D31="Pastry",Modelo!$B$12,IF(C31="Restaurante",Modelo!$B$11,Modelo!$B$10)))</f>
        <v/>
      </c>
      <c r="K31">
        <f>IF(G31="","",G31*IF(D31="Pastry",Modelo!$B$8,Modelo!$B$7))</f>
        <v/>
      </c>
    </row>
    <row r="32">
      <c r="A32" s="10" t="n"/>
      <c r="B32">
        <f>IF(A32="","",ISOWEEKNUM(A32))</f>
        <v/>
      </c>
      <c r="G32">
        <f>IF(E32="","",E32-F32)</f>
        <v/>
      </c>
      <c r="J32">
        <f>IF(F32="","",(F32+I32)*IF(D32="Pastry",Modelo!$B$12,IF(C32="Restaurante",Modelo!$B$11,Modelo!$B$10)))</f>
        <v/>
      </c>
      <c r="K32">
        <f>IF(G32="","",G32*IF(D32="Pastry",Modelo!$B$8,Modelo!$B$7))</f>
        <v/>
      </c>
    </row>
    <row r="33">
      <c r="A33" s="10" t="n"/>
      <c r="B33">
        <f>IF(A33="","",ISOWEEKNUM(A33))</f>
        <v/>
      </c>
      <c r="G33">
        <f>IF(E33="","",E33-F33)</f>
        <v/>
      </c>
      <c r="J33">
        <f>IF(F33="","",(F33+I33)*IF(D33="Pastry",Modelo!$B$12,IF(C33="Restaurante",Modelo!$B$11,Modelo!$B$10)))</f>
        <v/>
      </c>
      <c r="K33">
        <f>IF(G33="","",G33*IF(D33="Pastry",Modelo!$B$8,Modelo!$B$7))</f>
        <v/>
      </c>
    </row>
    <row r="34">
      <c r="A34" s="10" t="n"/>
      <c r="B34">
        <f>IF(A34="","",ISOWEEKNUM(A34))</f>
        <v/>
      </c>
      <c r="G34">
        <f>IF(E34="","",E34-F34)</f>
        <v/>
      </c>
      <c r="J34">
        <f>IF(F34="","",(F34+I34)*IF(D34="Pastry",Modelo!$B$12,IF(C34="Restaurante",Modelo!$B$11,Modelo!$B$10)))</f>
        <v/>
      </c>
      <c r="K34">
        <f>IF(G34="","",G34*IF(D34="Pastry",Modelo!$B$8,Modelo!$B$7))</f>
        <v/>
      </c>
    </row>
    <row r="35">
      <c r="A35" s="10" t="n"/>
      <c r="B35">
        <f>IF(A35="","",ISOWEEKNUM(A35))</f>
        <v/>
      </c>
      <c r="G35">
        <f>IF(E35="","",E35-F35)</f>
        <v/>
      </c>
      <c r="J35">
        <f>IF(F35="","",(F35+I35)*IF(D35="Pastry",Modelo!$B$12,IF(C35="Restaurante",Modelo!$B$11,Modelo!$B$10)))</f>
        <v/>
      </c>
      <c r="K35">
        <f>IF(G35="","",G35*IF(D35="Pastry",Modelo!$B$8,Modelo!$B$7))</f>
        <v/>
      </c>
    </row>
    <row r="36">
      <c r="A36" s="10" t="n"/>
      <c r="B36">
        <f>IF(A36="","",ISOWEEKNUM(A36))</f>
        <v/>
      </c>
      <c r="G36">
        <f>IF(E36="","",E36-F36)</f>
        <v/>
      </c>
      <c r="J36">
        <f>IF(F36="","",(F36+I36)*IF(D36="Pastry",Modelo!$B$12,IF(C36="Restaurante",Modelo!$B$11,Modelo!$B$10)))</f>
        <v/>
      </c>
      <c r="K36">
        <f>IF(G36="","",G36*IF(D36="Pastry",Modelo!$B$8,Modelo!$B$7))</f>
        <v/>
      </c>
    </row>
    <row r="37">
      <c r="A37" s="10" t="n"/>
      <c r="B37">
        <f>IF(A37="","",ISOWEEKNUM(A37))</f>
        <v/>
      </c>
      <c r="G37">
        <f>IF(E37="","",E37-F37)</f>
        <v/>
      </c>
      <c r="J37">
        <f>IF(F37="","",(F37+I37)*IF(D37="Pastry",Modelo!$B$12,IF(C37="Restaurante",Modelo!$B$11,Modelo!$B$10)))</f>
        <v/>
      </c>
      <c r="K37">
        <f>IF(G37="","",G37*IF(D37="Pastry",Modelo!$B$8,Modelo!$B$7))</f>
        <v/>
      </c>
    </row>
    <row r="38">
      <c r="A38" s="10" t="n"/>
      <c r="B38">
        <f>IF(A38="","",ISOWEEKNUM(A38))</f>
        <v/>
      </c>
      <c r="G38">
        <f>IF(E38="","",E38-F38)</f>
        <v/>
      </c>
      <c r="J38">
        <f>IF(F38="","",(F38+I38)*IF(D38="Pastry",Modelo!$B$12,IF(C38="Restaurante",Modelo!$B$11,Modelo!$B$10)))</f>
        <v/>
      </c>
      <c r="K38">
        <f>IF(G38="","",G38*IF(D38="Pastry",Modelo!$B$8,Modelo!$B$7))</f>
        <v/>
      </c>
    </row>
    <row r="39">
      <c r="A39" s="10" t="n"/>
      <c r="B39">
        <f>IF(A39="","",ISOWEEKNUM(A39))</f>
        <v/>
      </c>
      <c r="G39">
        <f>IF(E39="","",E39-F39)</f>
        <v/>
      </c>
      <c r="J39">
        <f>IF(F39="","",(F39+I39)*IF(D39="Pastry",Modelo!$B$12,IF(C39="Restaurante",Modelo!$B$11,Modelo!$B$10)))</f>
        <v/>
      </c>
      <c r="K39">
        <f>IF(G39="","",G39*IF(D39="Pastry",Modelo!$B$8,Modelo!$B$7))</f>
        <v/>
      </c>
    </row>
    <row r="40">
      <c r="A40" s="10" t="n"/>
      <c r="B40">
        <f>IF(A40="","",ISOWEEKNUM(A40))</f>
        <v/>
      </c>
      <c r="G40">
        <f>IF(E40="","",E40-F40)</f>
        <v/>
      </c>
      <c r="J40">
        <f>IF(F40="","",(F40+I40)*IF(D40="Pastry",Modelo!$B$12,IF(C40="Restaurante",Modelo!$B$11,Modelo!$B$10)))</f>
        <v/>
      </c>
      <c r="K40">
        <f>IF(G40="","",G40*IF(D40="Pastry",Modelo!$B$8,Modelo!$B$7))</f>
        <v/>
      </c>
    </row>
    <row r="41">
      <c r="A41" s="10" t="n"/>
      <c r="B41">
        <f>IF(A41="","",ISOWEEKNUM(A41))</f>
        <v/>
      </c>
      <c r="G41">
        <f>IF(E41="","",E41-F41)</f>
        <v/>
      </c>
      <c r="J41">
        <f>IF(F41="","",(F41+I41)*IF(D41="Pastry",Modelo!$B$12,IF(C41="Restaurante",Modelo!$B$11,Modelo!$B$10)))</f>
        <v/>
      </c>
      <c r="K41">
        <f>IF(G41="","",G41*IF(D41="Pastry",Modelo!$B$8,Modelo!$B$7))</f>
        <v/>
      </c>
    </row>
    <row r="42">
      <c r="A42" s="10" t="n"/>
      <c r="B42">
        <f>IF(A42="","",ISOWEEKNUM(A42))</f>
        <v/>
      </c>
      <c r="G42">
        <f>IF(E42="","",E42-F42)</f>
        <v/>
      </c>
      <c r="J42">
        <f>IF(F42="","",(F42+I42)*IF(D42="Pastry",Modelo!$B$12,IF(C42="Restaurante",Modelo!$B$11,Modelo!$B$10)))</f>
        <v/>
      </c>
      <c r="K42">
        <f>IF(G42="","",G42*IF(D42="Pastry",Modelo!$B$8,Modelo!$B$7))</f>
        <v/>
      </c>
    </row>
    <row r="43">
      <c r="A43" s="10" t="n"/>
      <c r="B43">
        <f>IF(A43="","",ISOWEEKNUM(A43))</f>
        <v/>
      </c>
      <c r="G43">
        <f>IF(E43="","",E43-F43)</f>
        <v/>
      </c>
      <c r="J43">
        <f>IF(F43="","",(F43+I43)*IF(D43="Pastry",Modelo!$B$12,IF(C43="Restaurante",Modelo!$B$11,Modelo!$B$10)))</f>
        <v/>
      </c>
      <c r="K43">
        <f>IF(G43="","",G43*IF(D43="Pastry",Modelo!$B$8,Modelo!$B$7))</f>
        <v/>
      </c>
    </row>
    <row r="44">
      <c r="A44" s="10" t="n"/>
      <c r="B44">
        <f>IF(A44="","",ISOWEEKNUM(A44))</f>
        <v/>
      </c>
      <c r="G44">
        <f>IF(E44="","",E44-F44)</f>
        <v/>
      </c>
      <c r="J44">
        <f>IF(F44="","",(F44+I44)*IF(D44="Pastry",Modelo!$B$12,IF(C44="Restaurante",Modelo!$B$11,Modelo!$B$10)))</f>
        <v/>
      </c>
      <c r="K44">
        <f>IF(G44="","",G44*IF(D44="Pastry",Modelo!$B$8,Modelo!$B$7))</f>
        <v/>
      </c>
    </row>
    <row r="45">
      <c r="A45" s="10" t="n"/>
      <c r="B45">
        <f>IF(A45="","",ISOWEEKNUM(A45))</f>
        <v/>
      </c>
      <c r="G45">
        <f>IF(E45="","",E45-F45)</f>
        <v/>
      </c>
      <c r="J45">
        <f>IF(F45="","",(F45+I45)*IF(D45="Pastry",Modelo!$B$12,IF(C45="Restaurante",Modelo!$B$11,Modelo!$B$10)))</f>
        <v/>
      </c>
      <c r="K45">
        <f>IF(G45="","",G45*IF(D45="Pastry",Modelo!$B$8,Modelo!$B$7))</f>
        <v/>
      </c>
    </row>
    <row r="46">
      <c r="A46" s="10" t="n"/>
      <c r="B46">
        <f>IF(A46="","",ISOWEEKNUM(A46))</f>
        <v/>
      </c>
      <c r="G46">
        <f>IF(E46="","",E46-F46)</f>
        <v/>
      </c>
      <c r="J46">
        <f>IF(F46="","",(F46+I46)*IF(D46="Pastry",Modelo!$B$12,IF(C46="Restaurante",Modelo!$B$11,Modelo!$B$10)))</f>
        <v/>
      </c>
      <c r="K46">
        <f>IF(G46="","",G46*IF(D46="Pastry",Modelo!$B$8,Modelo!$B$7))</f>
        <v/>
      </c>
    </row>
    <row r="47">
      <c r="A47" s="10" t="n"/>
      <c r="B47">
        <f>IF(A47="","",ISOWEEKNUM(A47))</f>
        <v/>
      </c>
      <c r="G47">
        <f>IF(E47="","",E47-F47)</f>
        <v/>
      </c>
      <c r="J47">
        <f>IF(F47="","",(F47+I47)*IF(D47="Pastry",Modelo!$B$12,IF(C47="Restaurante",Modelo!$B$11,Modelo!$B$10)))</f>
        <v/>
      </c>
      <c r="K47">
        <f>IF(G47="","",G47*IF(D47="Pastry",Modelo!$B$8,Modelo!$B$7))</f>
        <v/>
      </c>
    </row>
    <row r="48">
      <c r="A48" s="10" t="n"/>
      <c r="B48">
        <f>IF(A48="","",ISOWEEKNUM(A48))</f>
        <v/>
      </c>
      <c r="G48">
        <f>IF(E48="","",E48-F48)</f>
        <v/>
      </c>
      <c r="J48">
        <f>IF(F48="","",(F48+I48)*IF(D48="Pastry",Modelo!$B$12,IF(C48="Restaurante",Modelo!$B$11,Modelo!$B$10)))</f>
        <v/>
      </c>
      <c r="K48">
        <f>IF(G48="","",G48*IF(D48="Pastry",Modelo!$B$8,Modelo!$B$7))</f>
        <v/>
      </c>
    </row>
    <row r="49">
      <c r="A49" s="10" t="n"/>
      <c r="B49">
        <f>IF(A49="","",ISOWEEKNUM(A49))</f>
        <v/>
      </c>
      <c r="G49">
        <f>IF(E49="","",E49-F49)</f>
        <v/>
      </c>
      <c r="J49">
        <f>IF(F49="","",(F49+I49)*IF(D49="Pastry",Modelo!$B$12,IF(C49="Restaurante",Modelo!$B$11,Modelo!$B$10)))</f>
        <v/>
      </c>
      <c r="K49">
        <f>IF(G49="","",G49*IF(D49="Pastry",Modelo!$B$8,Modelo!$B$7))</f>
        <v/>
      </c>
    </row>
    <row r="50">
      <c r="A50" s="10" t="n"/>
      <c r="B50">
        <f>IF(A50="","",ISOWEEKNUM(A50))</f>
        <v/>
      </c>
      <c r="G50">
        <f>IF(E50="","",E50-F50)</f>
        <v/>
      </c>
      <c r="J50">
        <f>IF(F50="","",(F50+I50)*IF(D50="Pastry",Modelo!$B$12,IF(C50="Restaurante",Modelo!$B$11,Modelo!$B$10)))</f>
        <v/>
      </c>
      <c r="K50">
        <f>IF(G50="","",G50*IF(D50="Pastry",Modelo!$B$8,Modelo!$B$7))</f>
        <v/>
      </c>
    </row>
    <row r="51">
      <c r="A51" s="10" t="n"/>
      <c r="B51">
        <f>IF(A51="","",ISOWEEKNUM(A51))</f>
        <v/>
      </c>
      <c r="G51">
        <f>IF(E51="","",E51-F51)</f>
        <v/>
      </c>
      <c r="J51">
        <f>IF(F51="","",(F51+I51)*IF(D51="Pastry",Modelo!$B$12,IF(C51="Restaurante",Modelo!$B$11,Modelo!$B$10)))</f>
        <v/>
      </c>
      <c r="K51">
        <f>IF(G51="","",G51*IF(D51="Pastry",Modelo!$B$8,Modelo!$B$7))</f>
        <v/>
      </c>
    </row>
    <row r="52">
      <c r="A52" s="10" t="n"/>
      <c r="B52">
        <f>IF(A52="","",ISOWEEKNUM(A52))</f>
        <v/>
      </c>
      <c r="G52">
        <f>IF(E52="","",E52-F52)</f>
        <v/>
      </c>
      <c r="J52">
        <f>IF(F52="","",(F52+I52)*IF(D52="Pastry",Modelo!$B$12,IF(C52="Restaurante",Modelo!$B$11,Modelo!$B$10)))</f>
        <v/>
      </c>
      <c r="K52">
        <f>IF(G52="","",G52*IF(D52="Pastry",Modelo!$B$8,Modelo!$B$7))</f>
        <v/>
      </c>
    </row>
    <row r="53">
      <c r="A53" s="10" t="n"/>
      <c r="B53">
        <f>IF(A53="","",ISOWEEKNUM(A53))</f>
        <v/>
      </c>
      <c r="G53">
        <f>IF(E53="","",E53-F53)</f>
        <v/>
      </c>
      <c r="J53">
        <f>IF(F53="","",(F53+I53)*IF(D53="Pastry",Modelo!$B$12,IF(C53="Restaurante",Modelo!$B$11,Modelo!$B$10)))</f>
        <v/>
      </c>
      <c r="K53">
        <f>IF(G53="","",G53*IF(D53="Pastry",Modelo!$B$8,Modelo!$B$7))</f>
        <v/>
      </c>
    </row>
    <row r="54">
      <c r="A54" s="10" t="n"/>
      <c r="B54">
        <f>IF(A54="","",ISOWEEKNUM(A54))</f>
        <v/>
      </c>
      <c r="G54">
        <f>IF(E54="","",E54-F54)</f>
        <v/>
      </c>
      <c r="J54">
        <f>IF(F54="","",(F54+I54)*IF(D54="Pastry",Modelo!$B$12,IF(C54="Restaurante",Modelo!$B$11,Modelo!$B$10)))</f>
        <v/>
      </c>
      <c r="K54">
        <f>IF(G54="","",G54*IF(D54="Pastry",Modelo!$B$8,Modelo!$B$7))</f>
        <v/>
      </c>
    </row>
    <row r="55">
      <c r="A55" s="10" t="n"/>
      <c r="B55">
        <f>IF(A55="","",ISOWEEKNUM(A55))</f>
        <v/>
      </c>
      <c r="G55">
        <f>IF(E55="","",E55-F55)</f>
        <v/>
      </c>
      <c r="J55">
        <f>IF(F55="","",(F55+I55)*IF(D55="Pastry",Modelo!$B$12,IF(C55="Restaurante",Modelo!$B$11,Modelo!$B$10)))</f>
        <v/>
      </c>
      <c r="K55">
        <f>IF(G55="","",G55*IF(D55="Pastry",Modelo!$B$8,Modelo!$B$7))</f>
        <v/>
      </c>
    </row>
    <row r="56">
      <c r="A56" s="10" t="n"/>
      <c r="B56">
        <f>IF(A56="","",ISOWEEKNUM(A56))</f>
        <v/>
      </c>
      <c r="G56">
        <f>IF(E56="","",E56-F56)</f>
        <v/>
      </c>
      <c r="J56">
        <f>IF(F56="","",(F56+I56)*IF(D56="Pastry",Modelo!$B$12,IF(C56="Restaurante",Modelo!$B$11,Modelo!$B$10)))</f>
        <v/>
      </c>
      <c r="K56">
        <f>IF(G56="","",G56*IF(D56="Pastry",Modelo!$B$8,Modelo!$B$7))</f>
        <v/>
      </c>
    </row>
    <row r="57">
      <c r="A57" s="10" t="n"/>
      <c r="B57">
        <f>IF(A57="","",ISOWEEKNUM(A57))</f>
        <v/>
      </c>
      <c r="G57">
        <f>IF(E57="","",E57-F57)</f>
        <v/>
      </c>
      <c r="J57">
        <f>IF(F57="","",(F57+I57)*IF(D57="Pastry",Modelo!$B$12,IF(C57="Restaurante",Modelo!$B$11,Modelo!$B$10)))</f>
        <v/>
      </c>
      <c r="K57">
        <f>IF(G57="","",G57*IF(D57="Pastry",Modelo!$B$8,Modelo!$B$7))</f>
        <v/>
      </c>
    </row>
    <row r="58">
      <c r="A58" s="10" t="n"/>
      <c r="B58">
        <f>IF(A58="","",ISOWEEKNUM(A58))</f>
        <v/>
      </c>
      <c r="G58">
        <f>IF(E58="","",E58-F58)</f>
        <v/>
      </c>
      <c r="J58">
        <f>IF(F58="","",(F58+I58)*IF(D58="Pastry",Modelo!$B$12,IF(C58="Restaurante",Modelo!$B$11,Modelo!$B$10)))</f>
        <v/>
      </c>
      <c r="K58">
        <f>IF(G58="","",G58*IF(D58="Pastry",Modelo!$B$8,Modelo!$B$7))</f>
        <v/>
      </c>
    </row>
    <row r="59">
      <c r="A59" s="10" t="n"/>
      <c r="B59">
        <f>IF(A59="","",ISOWEEKNUM(A59))</f>
        <v/>
      </c>
      <c r="G59">
        <f>IF(E59="","",E59-F59)</f>
        <v/>
      </c>
      <c r="J59">
        <f>IF(F59="","",(F59+I59)*IF(D59="Pastry",Modelo!$B$12,IF(C59="Restaurante",Modelo!$B$11,Modelo!$B$10)))</f>
        <v/>
      </c>
      <c r="K59">
        <f>IF(G59="","",G59*IF(D59="Pastry",Modelo!$B$8,Modelo!$B$7))</f>
        <v/>
      </c>
    </row>
    <row r="60">
      <c r="A60" s="10" t="n"/>
      <c r="B60">
        <f>IF(A60="","",ISOWEEKNUM(A60))</f>
        <v/>
      </c>
      <c r="G60">
        <f>IF(E60="","",E60-F60)</f>
        <v/>
      </c>
      <c r="J60">
        <f>IF(F60="","",(F60+I60)*IF(D60="Pastry",Modelo!$B$12,IF(C60="Restaurante",Modelo!$B$11,Modelo!$B$10)))</f>
        <v/>
      </c>
      <c r="K60">
        <f>IF(G60="","",G60*IF(D60="Pastry",Modelo!$B$8,Modelo!$B$7))</f>
        <v/>
      </c>
    </row>
    <row r="61">
      <c r="A61" s="10" t="n"/>
      <c r="B61">
        <f>IF(A61="","",ISOWEEKNUM(A61))</f>
        <v/>
      </c>
      <c r="G61">
        <f>IF(E61="","",E61-F61)</f>
        <v/>
      </c>
      <c r="J61">
        <f>IF(F61="","",(F61+I61)*IF(D61="Pastry",Modelo!$B$12,IF(C61="Restaurante",Modelo!$B$11,Modelo!$B$10)))</f>
        <v/>
      </c>
      <c r="K61">
        <f>IF(G61="","",G61*IF(D61="Pastry",Modelo!$B$8,Modelo!$B$7))</f>
        <v/>
      </c>
    </row>
    <row r="62">
      <c r="A62" s="10" t="n"/>
      <c r="B62">
        <f>IF(A62="","",ISOWEEKNUM(A62))</f>
        <v/>
      </c>
      <c r="G62">
        <f>IF(E62="","",E62-F62)</f>
        <v/>
      </c>
      <c r="J62">
        <f>IF(F62="","",(F62+I62)*IF(D62="Pastry",Modelo!$B$12,IF(C62="Restaurante",Modelo!$B$11,Modelo!$B$10)))</f>
        <v/>
      </c>
      <c r="K62">
        <f>IF(G62="","",G62*IF(D62="Pastry",Modelo!$B$8,Modelo!$B$7))</f>
        <v/>
      </c>
    </row>
    <row r="63">
      <c r="A63" s="10" t="n"/>
      <c r="B63">
        <f>IF(A63="","",ISOWEEKNUM(A63))</f>
        <v/>
      </c>
      <c r="G63">
        <f>IF(E63="","",E63-F63)</f>
        <v/>
      </c>
      <c r="J63">
        <f>IF(F63="","",(F63+I63)*IF(D63="Pastry",Modelo!$B$12,IF(C63="Restaurante",Modelo!$B$11,Modelo!$B$10)))</f>
        <v/>
      </c>
      <c r="K63">
        <f>IF(G63="","",G63*IF(D63="Pastry",Modelo!$B$8,Modelo!$B$7))</f>
        <v/>
      </c>
    </row>
    <row r="64">
      <c r="A64" s="10" t="n"/>
      <c r="B64">
        <f>IF(A64="","",ISOWEEKNUM(A64))</f>
        <v/>
      </c>
      <c r="G64">
        <f>IF(E64="","",E64-F64)</f>
        <v/>
      </c>
      <c r="J64">
        <f>IF(F64="","",(F64+I64)*IF(D64="Pastry",Modelo!$B$12,IF(C64="Restaurante",Modelo!$B$11,Modelo!$B$10)))</f>
        <v/>
      </c>
      <c r="K64">
        <f>IF(G64="","",G64*IF(D64="Pastry",Modelo!$B$8,Modelo!$B$7))</f>
        <v/>
      </c>
    </row>
    <row r="65">
      <c r="A65" s="10" t="n"/>
      <c r="B65">
        <f>IF(A65="","",ISOWEEKNUM(A65))</f>
        <v/>
      </c>
      <c r="G65">
        <f>IF(E65="","",E65-F65)</f>
        <v/>
      </c>
      <c r="J65">
        <f>IF(F65="","",(F65+I65)*IF(D65="Pastry",Modelo!$B$12,IF(C65="Restaurante",Modelo!$B$11,Modelo!$B$10)))</f>
        <v/>
      </c>
      <c r="K65">
        <f>IF(G65="","",G65*IF(D65="Pastry",Modelo!$B$8,Modelo!$B$7))</f>
        <v/>
      </c>
    </row>
    <row r="66">
      <c r="A66" s="10" t="n"/>
      <c r="B66">
        <f>IF(A66="","",ISOWEEKNUM(A66))</f>
        <v/>
      </c>
      <c r="G66">
        <f>IF(E66="","",E66-F66)</f>
        <v/>
      </c>
      <c r="J66">
        <f>IF(F66="","",(F66+I66)*IF(D66="Pastry",Modelo!$B$12,IF(C66="Restaurante",Modelo!$B$11,Modelo!$B$10)))</f>
        <v/>
      </c>
      <c r="K66">
        <f>IF(G66="","",G66*IF(D66="Pastry",Modelo!$B$8,Modelo!$B$7))</f>
        <v/>
      </c>
    </row>
    <row r="67">
      <c r="A67" s="10" t="n"/>
      <c r="B67">
        <f>IF(A67="","",ISOWEEKNUM(A67))</f>
        <v/>
      </c>
      <c r="G67">
        <f>IF(E67="","",E67-F67)</f>
        <v/>
      </c>
      <c r="J67">
        <f>IF(F67="","",(F67+I67)*IF(D67="Pastry",Modelo!$B$12,IF(C67="Restaurante",Modelo!$B$11,Modelo!$B$10)))</f>
        <v/>
      </c>
      <c r="K67">
        <f>IF(G67="","",G67*IF(D67="Pastry",Modelo!$B$8,Modelo!$B$7))</f>
        <v/>
      </c>
    </row>
    <row r="68">
      <c r="A68" s="10" t="n"/>
      <c r="B68">
        <f>IF(A68="","",ISOWEEKNUM(A68))</f>
        <v/>
      </c>
      <c r="G68">
        <f>IF(E68="","",E68-F68)</f>
        <v/>
      </c>
      <c r="J68">
        <f>IF(F68="","",(F68+I68)*IF(D68="Pastry",Modelo!$B$12,IF(C68="Restaurante",Modelo!$B$11,Modelo!$B$10)))</f>
        <v/>
      </c>
      <c r="K68">
        <f>IF(G68="","",G68*IF(D68="Pastry",Modelo!$B$8,Modelo!$B$7))</f>
        <v/>
      </c>
    </row>
    <row r="69">
      <c r="A69" s="10" t="n"/>
      <c r="B69">
        <f>IF(A69="","",ISOWEEKNUM(A69))</f>
        <v/>
      </c>
      <c r="G69">
        <f>IF(E69="","",E69-F69)</f>
        <v/>
      </c>
      <c r="J69">
        <f>IF(F69="","",(F69+I69)*IF(D69="Pastry",Modelo!$B$12,IF(C69="Restaurante",Modelo!$B$11,Modelo!$B$10)))</f>
        <v/>
      </c>
      <c r="K69">
        <f>IF(G69="","",G69*IF(D69="Pastry",Modelo!$B$8,Modelo!$B$7))</f>
        <v/>
      </c>
    </row>
    <row r="70">
      <c r="A70" s="10" t="n"/>
      <c r="B70">
        <f>IF(A70="","",ISOWEEKNUM(A70))</f>
        <v/>
      </c>
      <c r="G70">
        <f>IF(E70="","",E70-F70)</f>
        <v/>
      </c>
      <c r="J70">
        <f>IF(F70="","",(F70+I70)*IF(D70="Pastry",Modelo!$B$12,IF(C70="Restaurante",Modelo!$B$11,Modelo!$B$10)))</f>
        <v/>
      </c>
      <c r="K70">
        <f>IF(G70="","",G70*IF(D70="Pastry",Modelo!$B$8,Modelo!$B$7))</f>
        <v/>
      </c>
    </row>
    <row r="71">
      <c r="A71" s="10" t="n"/>
      <c r="B71">
        <f>IF(A71="","",ISOWEEKNUM(A71))</f>
        <v/>
      </c>
      <c r="G71">
        <f>IF(E71="","",E71-F71)</f>
        <v/>
      </c>
      <c r="J71">
        <f>IF(F71="","",(F71+I71)*IF(D71="Pastry",Modelo!$B$12,IF(C71="Restaurante",Modelo!$B$11,Modelo!$B$10)))</f>
        <v/>
      </c>
      <c r="K71">
        <f>IF(G71="","",G71*IF(D71="Pastry",Modelo!$B$8,Modelo!$B$7))</f>
        <v/>
      </c>
    </row>
    <row r="72">
      <c r="A72" s="10" t="n"/>
      <c r="B72">
        <f>IF(A72="","",ISOWEEKNUM(A72))</f>
        <v/>
      </c>
      <c r="G72">
        <f>IF(E72="","",E72-F72)</f>
        <v/>
      </c>
      <c r="J72">
        <f>IF(F72="","",(F72+I72)*IF(D72="Pastry",Modelo!$B$12,IF(C72="Restaurante",Modelo!$B$11,Modelo!$B$10)))</f>
        <v/>
      </c>
      <c r="K72">
        <f>IF(G72="","",G72*IF(D72="Pastry",Modelo!$B$8,Modelo!$B$7))</f>
        <v/>
      </c>
    </row>
    <row r="73">
      <c r="A73" s="10" t="n"/>
      <c r="B73">
        <f>IF(A73="","",ISOWEEKNUM(A73))</f>
        <v/>
      </c>
      <c r="G73">
        <f>IF(E73="","",E73-F73)</f>
        <v/>
      </c>
      <c r="J73">
        <f>IF(F73="","",(F73+I73)*IF(D73="Pastry",Modelo!$B$12,IF(C73="Restaurante",Modelo!$B$11,Modelo!$B$10)))</f>
        <v/>
      </c>
      <c r="K73">
        <f>IF(G73="","",G73*IF(D73="Pastry",Modelo!$B$8,Modelo!$B$7))</f>
        <v/>
      </c>
    </row>
    <row r="74">
      <c r="A74" s="10" t="n"/>
      <c r="B74">
        <f>IF(A74="","",ISOWEEKNUM(A74))</f>
        <v/>
      </c>
      <c r="G74">
        <f>IF(E74="","",E74-F74)</f>
        <v/>
      </c>
      <c r="J74">
        <f>IF(F74="","",(F74+I74)*IF(D74="Pastry",Modelo!$B$12,IF(C74="Restaurante",Modelo!$B$11,Modelo!$B$10)))</f>
        <v/>
      </c>
      <c r="K74">
        <f>IF(G74="","",G74*IF(D74="Pastry",Modelo!$B$8,Modelo!$B$7))</f>
        <v/>
      </c>
    </row>
    <row r="75">
      <c r="A75" s="10" t="n"/>
      <c r="B75">
        <f>IF(A75="","",ISOWEEKNUM(A75))</f>
        <v/>
      </c>
      <c r="G75">
        <f>IF(E75="","",E75-F75)</f>
        <v/>
      </c>
      <c r="J75">
        <f>IF(F75="","",(F75+I75)*IF(D75="Pastry",Modelo!$B$12,IF(C75="Restaurante",Modelo!$B$11,Modelo!$B$10)))</f>
        <v/>
      </c>
      <c r="K75">
        <f>IF(G75="","",G75*IF(D75="Pastry",Modelo!$B$8,Modelo!$B$7))</f>
        <v/>
      </c>
    </row>
    <row r="76">
      <c r="A76" s="10" t="n"/>
      <c r="B76">
        <f>IF(A76="","",ISOWEEKNUM(A76))</f>
        <v/>
      </c>
      <c r="G76">
        <f>IF(E76="","",E76-F76)</f>
        <v/>
      </c>
      <c r="J76">
        <f>IF(F76="","",(F76+I76)*IF(D76="Pastry",Modelo!$B$12,IF(C76="Restaurante",Modelo!$B$11,Modelo!$B$10)))</f>
        <v/>
      </c>
      <c r="K76">
        <f>IF(G76="","",G76*IF(D76="Pastry",Modelo!$B$8,Modelo!$B$7))</f>
        <v/>
      </c>
    </row>
    <row r="77">
      <c r="A77" s="10" t="n"/>
      <c r="B77">
        <f>IF(A77="","",ISOWEEKNUM(A77))</f>
        <v/>
      </c>
      <c r="G77">
        <f>IF(E77="","",E77-F77)</f>
        <v/>
      </c>
      <c r="J77">
        <f>IF(F77="","",(F77+I77)*IF(D77="Pastry",Modelo!$B$12,IF(C77="Restaurante",Modelo!$B$11,Modelo!$B$10)))</f>
        <v/>
      </c>
      <c r="K77">
        <f>IF(G77="","",G77*IF(D77="Pastry",Modelo!$B$8,Modelo!$B$7))</f>
        <v/>
      </c>
    </row>
    <row r="78">
      <c r="A78" s="10" t="n"/>
      <c r="B78">
        <f>IF(A78="","",ISOWEEKNUM(A78))</f>
        <v/>
      </c>
      <c r="G78">
        <f>IF(E78="","",E78-F78)</f>
        <v/>
      </c>
      <c r="J78">
        <f>IF(F78="","",(F78+I78)*IF(D78="Pastry",Modelo!$B$12,IF(C78="Restaurante",Modelo!$B$11,Modelo!$B$10)))</f>
        <v/>
      </c>
      <c r="K78">
        <f>IF(G78="","",G78*IF(D78="Pastry",Modelo!$B$8,Modelo!$B$7))</f>
        <v/>
      </c>
    </row>
    <row r="79">
      <c r="A79" s="10" t="n"/>
      <c r="B79">
        <f>IF(A79="","",ISOWEEKNUM(A79))</f>
        <v/>
      </c>
      <c r="G79">
        <f>IF(E79="","",E79-F79)</f>
        <v/>
      </c>
      <c r="J79">
        <f>IF(F79="","",(F79+I79)*IF(D79="Pastry",Modelo!$B$12,IF(C79="Restaurante",Modelo!$B$11,Modelo!$B$10)))</f>
        <v/>
      </c>
      <c r="K79">
        <f>IF(G79="","",G79*IF(D79="Pastry",Modelo!$B$8,Modelo!$B$7))</f>
        <v/>
      </c>
    </row>
    <row r="80">
      <c r="A80" s="10" t="n"/>
      <c r="B80">
        <f>IF(A80="","",ISOWEEKNUM(A80))</f>
        <v/>
      </c>
      <c r="G80">
        <f>IF(E80="","",E80-F80)</f>
        <v/>
      </c>
      <c r="J80">
        <f>IF(F80="","",(F80+I80)*IF(D80="Pastry",Modelo!$B$12,IF(C80="Restaurante",Modelo!$B$11,Modelo!$B$10)))</f>
        <v/>
      </c>
      <c r="K80">
        <f>IF(G80="","",G80*IF(D80="Pastry",Modelo!$B$8,Modelo!$B$7))</f>
        <v/>
      </c>
    </row>
    <row r="81">
      <c r="A81" s="10" t="n"/>
      <c r="B81">
        <f>IF(A81="","",ISOWEEKNUM(A81))</f>
        <v/>
      </c>
      <c r="G81">
        <f>IF(E81="","",E81-F81)</f>
        <v/>
      </c>
      <c r="J81">
        <f>IF(F81="","",(F81+I81)*IF(D81="Pastry",Modelo!$B$12,IF(C81="Restaurante",Modelo!$B$11,Modelo!$B$10)))</f>
        <v/>
      </c>
      <c r="K81">
        <f>IF(G81="","",G81*IF(D81="Pastry",Modelo!$B$8,Modelo!$B$7))</f>
        <v/>
      </c>
    </row>
    <row r="82">
      <c r="A82" s="10" t="n"/>
      <c r="B82">
        <f>IF(A82="","",ISOWEEKNUM(A82))</f>
        <v/>
      </c>
      <c r="G82">
        <f>IF(E82="","",E82-F82)</f>
        <v/>
      </c>
      <c r="J82">
        <f>IF(F82="","",(F82+I82)*IF(D82="Pastry",Modelo!$B$12,IF(C82="Restaurante",Modelo!$B$11,Modelo!$B$10)))</f>
        <v/>
      </c>
      <c r="K82">
        <f>IF(G82="","",G82*IF(D82="Pastry",Modelo!$B$8,Modelo!$B$7))</f>
        <v/>
      </c>
    </row>
    <row r="83">
      <c r="A83" s="10" t="n"/>
      <c r="B83">
        <f>IF(A83="","",ISOWEEKNUM(A83))</f>
        <v/>
      </c>
      <c r="G83">
        <f>IF(E83="","",E83-F83)</f>
        <v/>
      </c>
      <c r="J83">
        <f>IF(F83="","",(F83+I83)*IF(D83="Pastry",Modelo!$B$12,IF(C83="Restaurante",Modelo!$B$11,Modelo!$B$10)))</f>
        <v/>
      </c>
      <c r="K83">
        <f>IF(G83="","",G83*IF(D83="Pastry",Modelo!$B$8,Modelo!$B$7))</f>
        <v/>
      </c>
    </row>
    <row r="84">
      <c r="A84" s="10" t="n"/>
      <c r="B84">
        <f>IF(A84="","",ISOWEEKNUM(A84))</f>
        <v/>
      </c>
      <c r="G84">
        <f>IF(E84="","",E84-F84)</f>
        <v/>
      </c>
      <c r="J84">
        <f>IF(F84="","",(F84+I84)*IF(D84="Pastry",Modelo!$B$12,IF(C84="Restaurante",Modelo!$B$11,Modelo!$B$10)))</f>
        <v/>
      </c>
      <c r="K84">
        <f>IF(G84="","",G84*IF(D84="Pastry",Modelo!$B$8,Modelo!$B$7))</f>
        <v/>
      </c>
    </row>
    <row r="85">
      <c r="A85" s="10" t="n"/>
      <c r="B85">
        <f>IF(A85="","",ISOWEEKNUM(A85))</f>
        <v/>
      </c>
      <c r="G85">
        <f>IF(E85="","",E85-F85)</f>
        <v/>
      </c>
      <c r="J85">
        <f>IF(F85="","",(F85+I85)*IF(D85="Pastry",Modelo!$B$12,IF(C85="Restaurante",Modelo!$B$11,Modelo!$B$10)))</f>
        <v/>
      </c>
      <c r="K85">
        <f>IF(G85="","",G85*IF(D85="Pastry",Modelo!$B$8,Modelo!$B$7))</f>
        <v/>
      </c>
    </row>
    <row r="86">
      <c r="A86" s="10" t="n"/>
      <c r="B86">
        <f>IF(A86="","",ISOWEEKNUM(A86))</f>
        <v/>
      </c>
      <c r="G86">
        <f>IF(E86="","",E86-F86)</f>
        <v/>
      </c>
      <c r="J86">
        <f>IF(F86="","",(F86+I86)*IF(D86="Pastry",Modelo!$B$12,IF(C86="Restaurante",Modelo!$B$11,Modelo!$B$10)))</f>
        <v/>
      </c>
      <c r="K86">
        <f>IF(G86="","",G86*IF(D86="Pastry",Modelo!$B$8,Modelo!$B$7))</f>
        <v/>
      </c>
    </row>
    <row r="87">
      <c r="A87" s="10" t="n"/>
      <c r="B87">
        <f>IF(A87="","",ISOWEEKNUM(A87))</f>
        <v/>
      </c>
      <c r="G87">
        <f>IF(E87="","",E87-F87)</f>
        <v/>
      </c>
      <c r="J87">
        <f>IF(F87="","",(F87+I87)*IF(D87="Pastry",Modelo!$B$12,IF(C87="Restaurante",Modelo!$B$11,Modelo!$B$10)))</f>
        <v/>
      </c>
      <c r="K87">
        <f>IF(G87="","",G87*IF(D87="Pastry",Modelo!$B$8,Modelo!$B$7))</f>
        <v/>
      </c>
    </row>
    <row r="88">
      <c r="A88" s="10" t="n"/>
      <c r="B88">
        <f>IF(A88="","",ISOWEEKNUM(A88))</f>
        <v/>
      </c>
      <c r="G88">
        <f>IF(E88="","",E88-F88)</f>
        <v/>
      </c>
      <c r="J88">
        <f>IF(F88="","",(F88+I88)*IF(D88="Pastry",Modelo!$B$12,IF(C88="Restaurante",Modelo!$B$11,Modelo!$B$10)))</f>
        <v/>
      </c>
      <c r="K88">
        <f>IF(G88="","",G88*IF(D88="Pastry",Modelo!$B$8,Modelo!$B$7))</f>
        <v/>
      </c>
    </row>
    <row r="89">
      <c r="A89" s="10" t="n"/>
      <c r="B89">
        <f>IF(A89="","",ISOWEEKNUM(A89))</f>
        <v/>
      </c>
      <c r="G89">
        <f>IF(E89="","",E89-F89)</f>
        <v/>
      </c>
      <c r="J89">
        <f>IF(F89="","",(F89+I89)*IF(D89="Pastry",Modelo!$B$12,IF(C89="Restaurante",Modelo!$B$11,Modelo!$B$10)))</f>
        <v/>
      </c>
      <c r="K89">
        <f>IF(G89="","",G89*IF(D89="Pastry",Modelo!$B$8,Modelo!$B$7))</f>
        <v/>
      </c>
    </row>
    <row r="90">
      <c r="A90" s="10" t="n"/>
      <c r="B90">
        <f>IF(A90="","",ISOWEEKNUM(A90))</f>
        <v/>
      </c>
      <c r="G90">
        <f>IF(E90="","",E90-F90)</f>
        <v/>
      </c>
      <c r="J90">
        <f>IF(F90="","",(F90+I90)*IF(D90="Pastry",Modelo!$B$12,IF(C90="Restaurante",Modelo!$B$11,Modelo!$B$10)))</f>
        <v/>
      </c>
      <c r="K90">
        <f>IF(G90="","",G90*IF(D90="Pastry",Modelo!$B$8,Modelo!$B$7))</f>
        <v/>
      </c>
    </row>
    <row r="91">
      <c r="A91" s="10" t="n"/>
      <c r="B91">
        <f>IF(A91="","",ISOWEEKNUM(A91))</f>
        <v/>
      </c>
      <c r="G91">
        <f>IF(E91="","",E91-F91)</f>
        <v/>
      </c>
      <c r="J91">
        <f>IF(F91="","",(F91+I91)*IF(D91="Pastry",Modelo!$B$12,IF(C91="Restaurante",Modelo!$B$11,Modelo!$B$10)))</f>
        <v/>
      </c>
      <c r="K91">
        <f>IF(G91="","",G91*IF(D91="Pastry",Modelo!$B$8,Modelo!$B$7))</f>
        <v/>
      </c>
    </row>
    <row r="92">
      <c r="A92" s="10" t="n"/>
      <c r="B92">
        <f>IF(A92="","",ISOWEEKNUM(A92))</f>
        <v/>
      </c>
      <c r="G92">
        <f>IF(E92="","",E92-F92)</f>
        <v/>
      </c>
      <c r="J92">
        <f>IF(F92="","",(F92+I92)*IF(D92="Pastry",Modelo!$B$12,IF(C92="Restaurante",Modelo!$B$11,Modelo!$B$10)))</f>
        <v/>
      </c>
      <c r="K92">
        <f>IF(G92="","",G92*IF(D92="Pastry",Modelo!$B$8,Modelo!$B$7))</f>
        <v/>
      </c>
    </row>
    <row r="93">
      <c r="A93" s="10" t="n"/>
      <c r="B93">
        <f>IF(A93="","",ISOWEEKNUM(A93))</f>
        <v/>
      </c>
      <c r="G93">
        <f>IF(E93="","",E93-F93)</f>
        <v/>
      </c>
      <c r="J93">
        <f>IF(F93="","",(F93+I93)*IF(D93="Pastry",Modelo!$B$12,IF(C93="Restaurante",Modelo!$B$11,Modelo!$B$10)))</f>
        <v/>
      </c>
      <c r="K93">
        <f>IF(G93="","",G93*IF(D93="Pastry",Modelo!$B$8,Modelo!$B$7))</f>
        <v/>
      </c>
    </row>
    <row r="94">
      <c r="A94" s="10" t="n"/>
      <c r="B94">
        <f>IF(A94="","",ISOWEEKNUM(A94))</f>
        <v/>
      </c>
      <c r="G94">
        <f>IF(E94="","",E94-F94)</f>
        <v/>
      </c>
      <c r="J94">
        <f>IF(F94="","",(F94+I94)*IF(D94="Pastry",Modelo!$B$12,IF(C94="Restaurante",Modelo!$B$11,Modelo!$B$10)))</f>
        <v/>
      </c>
      <c r="K94">
        <f>IF(G94="","",G94*IF(D94="Pastry",Modelo!$B$8,Modelo!$B$7))</f>
        <v/>
      </c>
    </row>
    <row r="95">
      <c r="A95" s="10" t="n"/>
      <c r="B95">
        <f>IF(A95="","",ISOWEEKNUM(A95))</f>
        <v/>
      </c>
      <c r="G95">
        <f>IF(E95="","",E95-F95)</f>
        <v/>
      </c>
      <c r="J95">
        <f>IF(F95="","",(F95+I95)*IF(D95="Pastry",Modelo!$B$12,IF(C95="Restaurante",Modelo!$B$11,Modelo!$B$10)))</f>
        <v/>
      </c>
      <c r="K95">
        <f>IF(G95="","",G95*IF(D95="Pastry",Modelo!$B$8,Modelo!$B$7))</f>
        <v/>
      </c>
    </row>
    <row r="96">
      <c r="A96" s="10" t="n"/>
      <c r="B96">
        <f>IF(A96="","",ISOWEEKNUM(A96))</f>
        <v/>
      </c>
      <c r="G96">
        <f>IF(E96="","",E96-F96)</f>
        <v/>
      </c>
      <c r="J96">
        <f>IF(F96="","",(F96+I96)*IF(D96="Pastry",Modelo!$B$12,IF(C96="Restaurante",Modelo!$B$11,Modelo!$B$10)))</f>
        <v/>
      </c>
      <c r="K96">
        <f>IF(G96="","",G96*IF(D96="Pastry",Modelo!$B$8,Modelo!$B$7))</f>
        <v/>
      </c>
    </row>
    <row r="97">
      <c r="A97" s="10" t="n"/>
      <c r="B97">
        <f>IF(A97="","",ISOWEEKNUM(A97))</f>
        <v/>
      </c>
      <c r="G97">
        <f>IF(E97="","",E97-F97)</f>
        <v/>
      </c>
      <c r="J97">
        <f>IF(F97="","",(F97+I97)*IF(D97="Pastry",Modelo!$B$12,IF(C97="Restaurante",Modelo!$B$11,Modelo!$B$10)))</f>
        <v/>
      </c>
      <c r="K97">
        <f>IF(G97="","",G97*IF(D97="Pastry",Modelo!$B$8,Modelo!$B$7))</f>
        <v/>
      </c>
    </row>
    <row r="98">
      <c r="A98" s="10" t="n"/>
      <c r="B98">
        <f>IF(A98="","",ISOWEEKNUM(A98))</f>
        <v/>
      </c>
      <c r="G98">
        <f>IF(E98="","",E98-F98)</f>
        <v/>
      </c>
      <c r="J98">
        <f>IF(F98="","",(F98+I98)*IF(D98="Pastry",Modelo!$B$12,IF(C98="Restaurante",Modelo!$B$11,Modelo!$B$10)))</f>
        <v/>
      </c>
      <c r="K98">
        <f>IF(G98="","",G98*IF(D98="Pastry",Modelo!$B$8,Modelo!$B$7))</f>
        <v/>
      </c>
    </row>
    <row r="99">
      <c r="A99" s="10" t="n"/>
      <c r="B99">
        <f>IF(A99="","",ISOWEEKNUM(A99))</f>
        <v/>
      </c>
      <c r="G99">
        <f>IF(E99="","",E99-F99)</f>
        <v/>
      </c>
      <c r="J99">
        <f>IF(F99="","",(F99+I99)*IF(D99="Pastry",Modelo!$B$12,IF(C99="Restaurante",Modelo!$B$11,Modelo!$B$10)))</f>
        <v/>
      </c>
      <c r="K99">
        <f>IF(G99="","",G99*IF(D99="Pastry",Modelo!$B$8,Modelo!$B$7))</f>
        <v/>
      </c>
    </row>
    <row r="100">
      <c r="A100" s="10" t="n"/>
      <c r="B100">
        <f>IF(A100="","",ISOWEEKNUM(A100))</f>
        <v/>
      </c>
      <c r="G100">
        <f>IF(E100="","",E100-F100)</f>
        <v/>
      </c>
      <c r="J100">
        <f>IF(F100="","",(F100+I100)*IF(D100="Pastry",Modelo!$B$12,IF(C100="Restaurante",Modelo!$B$11,Modelo!$B$10)))</f>
        <v/>
      </c>
      <c r="K100">
        <f>IF(G100="","",G100*IF(D100="Pastry",Modelo!$B$8,Modelo!$B$7))</f>
        <v/>
      </c>
    </row>
    <row r="101">
      <c r="A101" s="10" t="n"/>
      <c r="B101">
        <f>IF(A101="","",ISOWEEKNUM(A101))</f>
        <v/>
      </c>
      <c r="G101">
        <f>IF(E101="","",E101-F101)</f>
        <v/>
      </c>
      <c r="J101">
        <f>IF(F101="","",(F101+I101)*IF(D101="Pastry",Modelo!$B$12,IF(C101="Restaurante",Modelo!$B$11,Modelo!$B$10)))</f>
        <v/>
      </c>
      <c r="K101">
        <f>IF(G101="","",G101*IF(D101="Pastry",Modelo!$B$8,Modelo!$B$7))</f>
        <v/>
      </c>
    </row>
    <row r="102">
      <c r="A102" s="10" t="n"/>
      <c r="B102">
        <f>IF(A102="","",ISOWEEKNUM(A102))</f>
        <v/>
      </c>
      <c r="G102">
        <f>IF(E102="","",E102-F102)</f>
        <v/>
      </c>
      <c r="J102">
        <f>IF(F102="","",(F102+I102)*IF(D102="Pastry",Modelo!$B$12,IF(C102="Restaurante",Modelo!$B$11,Modelo!$B$10)))</f>
        <v/>
      </c>
      <c r="K102">
        <f>IF(G102="","",G102*IF(D102="Pastry",Modelo!$B$8,Modelo!$B$7))</f>
        <v/>
      </c>
    </row>
    <row r="103">
      <c r="A103" s="10" t="n"/>
      <c r="B103">
        <f>IF(A103="","",ISOWEEKNUM(A103))</f>
        <v/>
      </c>
      <c r="G103">
        <f>IF(E103="","",E103-F103)</f>
        <v/>
      </c>
      <c r="J103">
        <f>IF(F103="","",(F103+I103)*IF(D103="Pastry",Modelo!$B$12,IF(C103="Restaurante",Modelo!$B$11,Modelo!$B$10)))</f>
        <v/>
      </c>
      <c r="K103">
        <f>IF(G103="","",G103*IF(D103="Pastry",Modelo!$B$8,Modelo!$B$7))</f>
        <v/>
      </c>
    </row>
    <row r="104">
      <c r="A104" s="10" t="n"/>
      <c r="B104">
        <f>IF(A104="","",ISOWEEKNUM(A104))</f>
        <v/>
      </c>
      <c r="G104">
        <f>IF(E104="","",E104-F104)</f>
        <v/>
      </c>
      <c r="J104">
        <f>IF(F104="","",(F104+I104)*IF(D104="Pastry",Modelo!$B$12,IF(C104="Restaurante",Modelo!$B$11,Modelo!$B$10)))</f>
        <v/>
      </c>
      <c r="K104">
        <f>IF(G104="","",G104*IF(D104="Pastry",Modelo!$B$8,Modelo!$B$7))</f>
        <v/>
      </c>
    </row>
    <row r="105">
      <c r="A105" s="10" t="n"/>
      <c r="B105">
        <f>IF(A105="","",ISOWEEKNUM(A105))</f>
        <v/>
      </c>
      <c r="G105">
        <f>IF(E105="","",E105-F105)</f>
        <v/>
      </c>
      <c r="J105">
        <f>IF(F105="","",(F105+I105)*IF(D105="Pastry",Modelo!$B$12,IF(C105="Restaurante",Modelo!$B$11,Modelo!$B$10)))</f>
        <v/>
      </c>
      <c r="K105">
        <f>IF(G105="","",G105*IF(D105="Pastry",Modelo!$B$8,Modelo!$B$7))</f>
        <v/>
      </c>
    </row>
    <row r="106">
      <c r="A106" s="10" t="n"/>
      <c r="B106">
        <f>IF(A106="","",ISOWEEKNUM(A106))</f>
        <v/>
      </c>
      <c r="G106">
        <f>IF(E106="","",E106-F106)</f>
        <v/>
      </c>
      <c r="J106">
        <f>IF(F106="","",(F106+I106)*IF(D106="Pastry",Modelo!$B$12,IF(C106="Restaurante",Modelo!$B$11,Modelo!$B$10)))</f>
        <v/>
      </c>
      <c r="K106">
        <f>IF(G106="","",G106*IF(D106="Pastry",Modelo!$B$8,Modelo!$B$7))</f>
        <v/>
      </c>
    </row>
    <row r="107">
      <c r="A107" s="10" t="n"/>
      <c r="B107">
        <f>IF(A107="","",ISOWEEKNUM(A107))</f>
        <v/>
      </c>
      <c r="G107">
        <f>IF(E107="","",E107-F107)</f>
        <v/>
      </c>
      <c r="J107">
        <f>IF(F107="","",(F107+I107)*IF(D107="Pastry",Modelo!$B$12,IF(C107="Restaurante",Modelo!$B$11,Modelo!$B$10)))</f>
        <v/>
      </c>
      <c r="K107">
        <f>IF(G107="","",G107*IF(D107="Pastry",Modelo!$B$8,Modelo!$B$7))</f>
        <v/>
      </c>
    </row>
    <row r="108">
      <c r="A108" s="10" t="n"/>
      <c r="B108">
        <f>IF(A108="","",ISOWEEKNUM(A108))</f>
        <v/>
      </c>
      <c r="G108">
        <f>IF(E108="","",E108-F108)</f>
        <v/>
      </c>
      <c r="J108">
        <f>IF(F108="","",(F108+I108)*IF(D108="Pastry",Modelo!$B$12,IF(C108="Restaurante",Modelo!$B$11,Modelo!$B$10)))</f>
        <v/>
      </c>
      <c r="K108">
        <f>IF(G108="","",G108*IF(D108="Pastry",Modelo!$B$8,Modelo!$B$7))</f>
        <v/>
      </c>
    </row>
    <row r="109">
      <c r="A109" s="10" t="n"/>
      <c r="B109">
        <f>IF(A109="","",ISOWEEKNUM(A109))</f>
        <v/>
      </c>
      <c r="G109">
        <f>IF(E109="","",E109-F109)</f>
        <v/>
      </c>
      <c r="J109">
        <f>IF(F109="","",(F109+I109)*IF(D109="Pastry",Modelo!$B$12,IF(C109="Restaurante",Modelo!$B$11,Modelo!$B$10)))</f>
        <v/>
      </c>
      <c r="K109">
        <f>IF(G109="","",G109*IF(D109="Pastry",Modelo!$B$8,Modelo!$B$7))</f>
        <v/>
      </c>
    </row>
    <row r="110">
      <c r="A110" s="10" t="n"/>
      <c r="B110">
        <f>IF(A110="","",ISOWEEKNUM(A110))</f>
        <v/>
      </c>
      <c r="G110">
        <f>IF(E110="","",E110-F110)</f>
        <v/>
      </c>
      <c r="J110">
        <f>IF(F110="","",(F110+I110)*IF(D110="Pastry",Modelo!$B$12,IF(C110="Restaurante",Modelo!$B$11,Modelo!$B$10)))</f>
        <v/>
      </c>
      <c r="K110">
        <f>IF(G110="","",G110*IF(D110="Pastry",Modelo!$B$8,Modelo!$B$7))</f>
        <v/>
      </c>
    </row>
    <row r="111">
      <c r="A111" s="10" t="n"/>
      <c r="B111">
        <f>IF(A111="","",ISOWEEKNUM(A111))</f>
        <v/>
      </c>
      <c r="G111">
        <f>IF(E111="","",E111-F111)</f>
        <v/>
      </c>
      <c r="J111">
        <f>IF(F111="","",(F111+I111)*IF(D111="Pastry",Modelo!$B$12,IF(C111="Restaurante",Modelo!$B$11,Modelo!$B$10)))</f>
        <v/>
      </c>
      <c r="K111">
        <f>IF(G111="","",G111*IF(D111="Pastry",Modelo!$B$8,Modelo!$B$7))</f>
        <v/>
      </c>
    </row>
    <row r="112">
      <c r="A112" s="10" t="n"/>
      <c r="B112">
        <f>IF(A112="","",ISOWEEKNUM(A112))</f>
        <v/>
      </c>
      <c r="G112">
        <f>IF(E112="","",E112-F112)</f>
        <v/>
      </c>
      <c r="J112">
        <f>IF(F112="","",(F112+I112)*IF(D112="Pastry",Modelo!$B$12,IF(C112="Restaurante",Modelo!$B$11,Modelo!$B$10)))</f>
        <v/>
      </c>
      <c r="K112">
        <f>IF(G112="","",G112*IF(D112="Pastry",Modelo!$B$8,Modelo!$B$7))</f>
        <v/>
      </c>
    </row>
    <row r="113">
      <c r="A113" s="10" t="n"/>
      <c r="B113">
        <f>IF(A113="","",ISOWEEKNUM(A113))</f>
        <v/>
      </c>
      <c r="G113">
        <f>IF(E113="","",E113-F113)</f>
        <v/>
      </c>
      <c r="J113">
        <f>IF(F113="","",(F113+I113)*IF(D113="Pastry",Modelo!$B$12,IF(C113="Restaurante",Modelo!$B$11,Modelo!$B$10)))</f>
        <v/>
      </c>
      <c r="K113">
        <f>IF(G113="","",G113*IF(D113="Pastry",Modelo!$B$8,Modelo!$B$7))</f>
        <v/>
      </c>
    </row>
    <row r="114">
      <c r="A114" s="10" t="n"/>
      <c r="B114">
        <f>IF(A114="","",ISOWEEKNUM(A114))</f>
        <v/>
      </c>
      <c r="G114">
        <f>IF(E114="","",E114-F114)</f>
        <v/>
      </c>
      <c r="J114">
        <f>IF(F114="","",(F114+I114)*IF(D114="Pastry",Modelo!$B$12,IF(C114="Restaurante",Modelo!$B$11,Modelo!$B$10)))</f>
        <v/>
      </c>
      <c r="K114">
        <f>IF(G114="","",G114*IF(D114="Pastry",Modelo!$B$8,Modelo!$B$7))</f>
        <v/>
      </c>
    </row>
    <row r="115">
      <c r="A115" s="10" t="n"/>
      <c r="B115">
        <f>IF(A115="","",ISOWEEKNUM(A115))</f>
        <v/>
      </c>
      <c r="G115">
        <f>IF(E115="","",E115-F115)</f>
        <v/>
      </c>
      <c r="J115">
        <f>IF(F115="","",(F115+I115)*IF(D115="Pastry",Modelo!$B$12,IF(C115="Restaurante",Modelo!$B$11,Modelo!$B$10)))</f>
        <v/>
      </c>
      <c r="K115">
        <f>IF(G115="","",G115*IF(D115="Pastry",Modelo!$B$8,Modelo!$B$7))</f>
        <v/>
      </c>
    </row>
    <row r="116">
      <c r="A116" s="10" t="n"/>
      <c r="B116">
        <f>IF(A116="","",ISOWEEKNUM(A116))</f>
        <v/>
      </c>
      <c r="G116">
        <f>IF(E116="","",E116-F116)</f>
        <v/>
      </c>
      <c r="J116">
        <f>IF(F116="","",(F116+I116)*IF(D116="Pastry",Modelo!$B$12,IF(C116="Restaurante",Modelo!$B$11,Modelo!$B$10)))</f>
        <v/>
      </c>
      <c r="K116">
        <f>IF(G116="","",G116*IF(D116="Pastry",Modelo!$B$8,Modelo!$B$7))</f>
        <v/>
      </c>
    </row>
    <row r="117">
      <c r="A117" s="10" t="n"/>
      <c r="B117">
        <f>IF(A117="","",ISOWEEKNUM(A117))</f>
        <v/>
      </c>
      <c r="G117">
        <f>IF(E117="","",E117-F117)</f>
        <v/>
      </c>
      <c r="J117">
        <f>IF(F117="","",(F117+I117)*IF(D117="Pastry",Modelo!$B$12,IF(C117="Restaurante",Modelo!$B$11,Modelo!$B$10)))</f>
        <v/>
      </c>
      <c r="K117">
        <f>IF(G117="","",G117*IF(D117="Pastry",Modelo!$B$8,Modelo!$B$7))</f>
        <v/>
      </c>
    </row>
    <row r="118">
      <c r="A118" s="10" t="n"/>
      <c r="B118">
        <f>IF(A118="","",ISOWEEKNUM(A118))</f>
        <v/>
      </c>
      <c r="G118">
        <f>IF(E118="","",E118-F118)</f>
        <v/>
      </c>
      <c r="J118">
        <f>IF(F118="","",(F118+I118)*IF(D118="Pastry",Modelo!$B$12,IF(C118="Restaurante",Modelo!$B$11,Modelo!$B$10)))</f>
        <v/>
      </c>
      <c r="K118">
        <f>IF(G118="","",G118*IF(D118="Pastry",Modelo!$B$8,Modelo!$B$7))</f>
        <v/>
      </c>
    </row>
    <row r="119">
      <c r="A119" s="10" t="n"/>
      <c r="B119">
        <f>IF(A119="","",ISOWEEKNUM(A119))</f>
        <v/>
      </c>
      <c r="G119">
        <f>IF(E119="","",E119-F119)</f>
        <v/>
      </c>
      <c r="J119">
        <f>IF(F119="","",(F119+I119)*IF(D119="Pastry",Modelo!$B$12,IF(C119="Restaurante",Modelo!$B$11,Modelo!$B$10)))</f>
        <v/>
      </c>
      <c r="K119">
        <f>IF(G119="","",G119*IF(D119="Pastry",Modelo!$B$8,Modelo!$B$7))</f>
        <v/>
      </c>
    </row>
    <row r="120">
      <c r="A120" s="10" t="n"/>
      <c r="B120">
        <f>IF(A120="","",ISOWEEKNUM(A120))</f>
        <v/>
      </c>
      <c r="G120">
        <f>IF(E120="","",E120-F120)</f>
        <v/>
      </c>
      <c r="J120">
        <f>IF(F120="","",(F120+I120)*IF(D120="Pastry",Modelo!$B$12,IF(C120="Restaurante",Modelo!$B$11,Modelo!$B$10)))</f>
        <v/>
      </c>
      <c r="K120">
        <f>IF(G120="","",G120*IF(D120="Pastry",Modelo!$B$8,Modelo!$B$7))</f>
        <v/>
      </c>
    </row>
    <row r="121">
      <c r="A121" s="10" t="n"/>
      <c r="B121">
        <f>IF(A121="","",ISOWEEKNUM(A121))</f>
        <v/>
      </c>
      <c r="G121">
        <f>IF(E121="","",E121-F121)</f>
        <v/>
      </c>
      <c r="J121">
        <f>IF(F121="","",(F121+I121)*IF(D121="Pastry",Modelo!$B$12,IF(C121="Restaurante",Modelo!$B$11,Modelo!$B$10)))</f>
        <v/>
      </c>
      <c r="K121">
        <f>IF(G121="","",G121*IF(D121="Pastry",Modelo!$B$8,Modelo!$B$7))</f>
        <v/>
      </c>
    </row>
    <row r="122">
      <c r="A122" s="10" t="n"/>
      <c r="B122">
        <f>IF(A122="","",ISOWEEKNUM(A122))</f>
        <v/>
      </c>
      <c r="G122">
        <f>IF(E122="","",E122-F122)</f>
        <v/>
      </c>
      <c r="J122">
        <f>IF(F122="","",(F122+I122)*IF(D122="Pastry",Modelo!$B$12,IF(C122="Restaurante",Modelo!$B$11,Modelo!$B$10)))</f>
        <v/>
      </c>
      <c r="K122">
        <f>IF(G122="","",G122*IF(D122="Pastry",Modelo!$B$8,Modelo!$B$7))</f>
        <v/>
      </c>
    </row>
    <row r="123">
      <c r="A123" s="10" t="n"/>
      <c r="B123">
        <f>IF(A123="","",ISOWEEKNUM(A123))</f>
        <v/>
      </c>
      <c r="G123">
        <f>IF(E123="","",E123-F123)</f>
        <v/>
      </c>
      <c r="J123">
        <f>IF(F123="","",(F123+I123)*IF(D123="Pastry",Modelo!$B$12,IF(C123="Restaurante",Modelo!$B$11,Modelo!$B$10)))</f>
        <v/>
      </c>
      <c r="K123">
        <f>IF(G123="","",G123*IF(D123="Pastry",Modelo!$B$8,Modelo!$B$7))</f>
        <v/>
      </c>
    </row>
    <row r="124">
      <c r="A124" s="10" t="n"/>
      <c r="B124">
        <f>IF(A124="","",ISOWEEKNUM(A124))</f>
        <v/>
      </c>
      <c r="G124">
        <f>IF(E124="","",E124-F124)</f>
        <v/>
      </c>
      <c r="J124">
        <f>IF(F124="","",(F124+I124)*IF(D124="Pastry",Modelo!$B$12,IF(C124="Restaurante",Modelo!$B$11,Modelo!$B$10)))</f>
        <v/>
      </c>
      <c r="K124">
        <f>IF(G124="","",G124*IF(D124="Pastry",Modelo!$B$8,Modelo!$B$7))</f>
        <v/>
      </c>
    </row>
    <row r="125">
      <c r="A125" s="10" t="n"/>
      <c r="B125">
        <f>IF(A125="","",ISOWEEKNUM(A125))</f>
        <v/>
      </c>
      <c r="G125">
        <f>IF(E125="","",E125-F125)</f>
        <v/>
      </c>
      <c r="J125">
        <f>IF(F125="","",(F125+I125)*IF(D125="Pastry",Modelo!$B$12,IF(C125="Restaurante",Modelo!$B$11,Modelo!$B$10)))</f>
        <v/>
      </c>
      <c r="K125">
        <f>IF(G125="","",G125*IF(D125="Pastry",Modelo!$B$8,Modelo!$B$7))</f>
        <v/>
      </c>
    </row>
    <row r="126">
      <c r="A126" s="10" t="n"/>
      <c r="B126">
        <f>IF(A126="","",ISOWEEKNUM(A126))</f>
        <v/>
      </c>
      <c r="G126">
        <f>IF(E126="","",E126-F126)</f>
        <v/>
      </c>
      <c r="J126">
        <f>IF(F126="","",(F126+I126)*IF(D126="Pastry",Modelo!$B$12,IF(C126="Restaurante",Modelo!$B$11,Modelo!$B$10)))</f>
        <v/>
      </c>
      <c r="K126">
        <f>IF(G126="","",G126*IF(D126="Pastry",Modelo!$B$8,Modelo!$B$7))</f>
        <v/>
      </c>
    </row>
    <row r="127">
      <c r="A127" s="10" t="n"/>
      <c r="B127">
        <f>IF(A127="","",ISOWEEKNUM(A127))</f>
        <v/>
      </c>
      <c r="G127">
        <f>IF(E127="","",E127-F127)</f>
        <v/>
      </c>
      <c r="J127">
        <f>IF(F127="","",(F127+I127)*IF(D127="Pastry",Modelo!$B$12,IF(C127="Restaurante",Modelo!$B$11,Modelo!$B$10)))</f>
        <v/>
      </c>
      <c r="K127">
        <f>IF(G127="","",G127*IF(D127="Pastry",Modelo!$B$8,Modelo!$B$7))</f>
        <v/>
      </c>
    </row>
    <row r="128">
      <c r="A128" s="10" t="n"/>
      <c r="B128">
        <f>IF(A128="","",ISOWEEKNUM(A128))</f>
        <v/>
      </c>
      <c r="G128">
        <f>IF(E128="","",E128-F128)</f>
        <v/>
      </c>
      <c r="J128">
        <f>IF(F128="","",(F128+I128)*IF(D128="Pastry",Modelo!$B$12,IF(C128="Restaurante",Modelo!$B$11,Modelo!$B$10)))</f>
        <v/>
      </c>
      <c r="K128">
        <f>IF(G128="","",G128*IF(D128="Pastry",Modelo!$B$8,Modelo!$B$7))</f>
        <v/>
      </c>
    </row>
    <row r="129">
      <c r="A129" s="10" t="n"/>
      <c r="B129">
        <f>IF(A129="","",ISOWEEKNUM(A129))</f>
        <v/>
      </c>
      <c r="G129">
        <f>IF(E129="","",E129-F129)</f>
        <v/>
      </c>
      <c r="J129">
        <f>IF(F129="","",(F129+I129)*IF(D129="Pastry",Modelo!$B$12,IF(C129="Restaurante",Modelo!$B$11,Modelo!$B$10)))</f>
        <v/>
      </c>
      <c r="K129">
        <f>IF(G129="","",G129*IF(D129="Pastry",Modelo!$B$8,Modelo!$B$7))</f>
        <v/>
      </c>
    </row>
    <row r="130">
      <c r="A130" s="10" t="n"/>
      <c r="B130">
        <f>IF(A130="","",ISOWEEKNUM(A130))</f>
        <v/>
      </c>
      <c r="G130">
        <f>IF(E130="","",E130-F130)</f>
        <v/>
      </c>
      <c r="J130">
        <f>IF(F130="","",(F130+I130)*IF(D130="Pastry",Modelo!$B$12,IF(C130="Restaurante",Modelo!$B$11,Modelo!$B$10)))</f>
        <v/>
      </c>
      <c r="K130">
        <f>IF(G130="","",G130*IF(D130="Pastry",Modelo!$B$8,Modelo!$B$7))</f>
        <v/>
      </c>
    </row>
    <row r="131">
      <c r="A131" s="10" t="n"/>
      <c r="B131">
        <f>IF(A131="","",ISOWEEKNUM(A131))</f>
        <v/>
      </c>
      <c r="G131">
        <f>IF(E131="","",E131-F131)</f>
        <v/>
      </c>
      <c r="J131">
        <f>IF(F131="","",(F131+I131)*IF(D131="Pastry",Modelo!$B$12,IF(C131="Restaurante",Modelo!$B$11,Modelo!$B$10)))</f>
        <v/>
      </c>
      <c r="K131">
        <f>IF(G131="","",G131*IF(D131="Pastry",Modelo!$B$8,Modelo!$B$7))</f>
        <v/>
      </c>
    </row>
    <row r="132">
      <c r="A132" s="10" t="n"/>
      <c r="B132">
        <f>IF(A132="","",ISOWEEKNUM(A132))</f>
        <v/>
      </c>
      <c r="G132">
        <f>IF(E132="","",E132-F132)</f>
        <v/>
      </c>
      <c r="J132">
        <f>IF(F132="","",(F132+I132)*IF(D132="Pastry",Modelo!$B$12,IF(C132="Restaurante",Modelo!$B$11,Modelo!$B$10)))</f>
        <v/>
      </c>
      <c r="K132">
        <f>IF(G132="","",G132*IF(D132="Pastry",Modelo!$B$8,Modelo!$B$7))</f>
        <v/>
      </c>
    </row>
    <row r="133">
      <c r="A133" s="10" t="n"/>
      <c r="B133">
        <f>IF(A133="","",ISOWEEKNUM(A133))</f>
        <v/>
      </c>
      <c r="G133">
        <f>IF(E133="","",E133-F133)</f>
        <v/>
      </c>
      <c r="J133">
        <f>IF(F133="","",(F133+I133)*IF(D133="Pastry",Modelo!$B$12,IF(C133="Restaurante",Modelo!$B$11,Modelo!$B$10)))</f>
        <v/>
      </c>
      <c r="K133">
        <f>IF(G133="","",G133*IF(D133="Pastry",Modelo!$B$8,Modelo!$B$7))</f>
        <v/>
      </c>
    </row>
    <row r="134">
      <c r="A134" s="10" t="n"/>
      <c r="B134">
        <f>IF(A134="","",ISOWEEKNUM(A134))</f>
        <v/>
      </c>
      <c r="G134">
        <f>IF(E134="","",E134-F134)</f>
        <v/>
      </c>
      <c r="J134">
        <f>IF(F134="","",(F134+I134)*IF(D134="Pastry",Modelo!$B$12,IF(C134="Restaurante",Modelo!$B$11,Modelo!$B$10)))</f>
        <v/>
      </c>
      <c r="K134">
        <f>IF(G134="","",G134*IF(D134="Pastry",Modelo!$B$8,Modelo!$B$7))</f>
        <v/>
      </c>
    </row>
    <row r="135">
      <c r="A135" s="10" t="n"/>
      <c r="B135">
        <f>IF(A135="","",ISOWEEKNUM(A135))</f>
        <v/>
      </c>
      <c r="G135">
        <f>IF(E135="","",E135-F135)</f>
        <v/>
      </c>
      <c r="J135">
        <f>IF(F135="","",(F135+I135)*IF(D135="Pastry",Modelo!$B$12,IF(C135="Restaurante",Modelo!$B$11,Modelo!$B$10)))</f>
        <v/>
      </c>
      <c r="K135">
        <f>IF(G135="","",G135*IF(D135="Pastry",Modelo!$B$8,Modelo!$B$7))</f>
        <v/>
      </c>
    </row>
    <row r="136">
      <c r="A136" s="10" t="n"/>
      <c r="B136">
        <f>IF(A136="","",ISOWEEKNUM(A136))</f>
        <v/>
      </c>
      <c r="G136">
        <f>IF(E136="","",E136-F136)</f>
        <v/>
      </c>
      <c r="J136">
        <f>IF(F136="","",(F136+I136)*IF(D136="Pastry",Modelo!$B$12,IF(C136="Restaurante",Modelo!$B$11,Modelo!$B$10)))</f>
        <v/>
      </c>
      <c r="K136">
        <f>IF(G136="","",G136*IF(D136="Pastry",Modelo!$B$8,Modelo!$B$7))</f>
        <v/>
      </c>
    </row>
    <row r="137">
      <c r="A137" s="10" t="n"/>
      <c r="B137">
        <f>IF(A137="","",ISOWEEKNUM(A137))</f>
        <v/>
      </c>
      <c r="G137">
        <f>IF(E137="","",E137-F137)</f>
        <v/>
      </c>
      <c r="J137">
        <f>IF(F137="","",(F137+I137)*IF(D137="Pastry",Modelo!$B$12,IF(C137="Restaurante",Modelo!$B$11,Modelo!$B$10)))</f>
        <v/>
      </c>
      <c r="K137">
        <f>IF(G137="","",G137*IF(D137="Pastry",Modelo!$B$8,Modelo!$B$7))</f>
        <v/>
      </c>
    </row>
    <row r="138">
      <c r="A138" s="10" t="n"/>
      <c r="B138">
        <f>IF(A138="","",ISOWEEKNUM(A138))</f>
        <v/>
      </c>
      <c r="G138">
        <f>IF(E138="","",E138-F138)</f>
        <v/>
      </c>
      <c r="J138">
        <f>IF(F138="","",(F138+I138)*IF(D138="Pastry",Modelo!$B$12,IF(C138="Restaurante",Modelo!$B$11,Modelo!$B$10)))</f>
        <v/>
      </c>
      <c r="K138">
        <f>IF(G138="","",G138*IF(D138="Pastry",Modelo!$B$8,Modelo!$B$7))</f>
        <v/>
      </c>
    </row>
    <row r="139">
      <c r="A139" s="10" t="n"/>
      <c r="B139">
        <f>IF(A139="","",ISOWEEKNUM(A139))</f>
        <v/>
      </c>
      <c r="G139">
        <f>IF(E139="","",E139-F139)</f>
        <v/>
      </c>
      <c r="J139">
        <f>IF(F139="","",(F139+I139)*IF(D139="Pastry",Modelo!$B$12,IF(C139="Restaurante",Modelo!$B$11,Modelo!$B$10)))</f>
        <v/>
      </c>
      <c r="K139">
        <f>IF(G139="","",G139*IF(D139="Pastry",Modelo!$B$8,Modelo!$B$7))</f>
        <v/>
      </c>
    </row>
    <row r="140">
      <c r="A140" s="10" t="n"/>
      <c r="B140">
        <f>IF(A140="","",ISOWEEKNUM(A140))</f>
        <v/>
      </c>
      <c r="G140">
        <f>IF(E140="","",E140-F140)</f>
        <v/>
      </c>
      <c r="J140">
        <f>IF(F140="","",(F140+I140)*IF(D140="Pastry",Modelo!$B$12,IF(C140="Restaurante",Modelo!$B$11,Modelo!$B$10)))</f>
        <v/>
      </c>
      <c r="K140">
        <f>IF(G140="","",G140*IF(D140="Pastry",Modelo!$B$8,Modelo!$B$7))</f>
        <v/>
      </c>
    </row>
    <row r="141">
      <c r="A141" s="10" t="n"/>
      <c r="B141">
        <f>IF(A141="","",ISOWEEKNUM(A141))</f>
        <v/>
      </c>
      <c r="G141">
        <f>IF(E141="","",E141-F141)</f>
        <v/>
      </c>
      <c r="J141">
        <f>IF(F141="","",(F141+I141)*IF(D141="Pastry",Modelo!$B$12,IF(C141="Restaurante",Modelo!$B$11,Modelo!$B$10)))</f>
        <v/>
      </c>
      <c r="K141">
        <f>IF(G141="","",G141*IF(D141="Pastry",Modelo!$B$8,Modelo!$B$7))</f>
        <v/>
      </c>
    </row>
    <row r="142">
      <c r="A142" s="10" t="n"/>
      <c r="B142">
        <f>IF(A142="","",ISOWEEKNUM(A142))</f>
        <v/>
      </c>
      <c r="G142">
        <f>IF(E142="","",E142-F142)</f>
        <v/>
      </c>
      <c r="J142">
        <f>IF(F142="","",(F142+I142)*IF(D142="Pastry",Modelo!$B$12,IF(C142="Restaurante",Modelo!$B$11,Modelo!$B$10)))</f>
        <v/>
      </c>
      <c r="K142">
        <f>IF(G142="","",G142*IF(D142="Pastry",Modelo!$B$8,Modelo!$B$7))</f>
        <v/>
      </c>
    </row>
    <row r="143">
      <c r="A143" s="10" t="n"/>
      <c r="B143">
        <f>IF(A143="","",ISOWEEKNUM(A143))</f>
        <v/>
      </c>
      <c r="G143">
        <f>IF(E143="","",E143-F143)</f>
        <v/>
      </c>
      <c r="J143">
        <f>IF(F143="","",(F143+I143)*IF(D143="Pastry",Modelo!$B$12,IF(C143="Restaurante",Modelo!$B$11,Modelo!$B$10)))</f>
        <v/>
      </c>
      <c r="K143">
        <f>IF(G143="","",G143*IF(D143="Pastry",Modelo!$B$8,Modelo!$B$7))</f>
        <v/>
      </c>
    </row>
    <row r="144">
      <c r="A144" s="10" t="n"/>
      <c r="B144">
        <f>IF(A144="","",ISOWEEKNUM(A144))</f>
        <v/>
      </c>
      <c r="G144">
        <f>IF(E144="","",E144-F144)</f>
        <v/>
      </c>
      <c r="J144">
        <f>IF(F144="","",(F144+I144)*IF(D144="Pastry",Modelo!$B$12,IF(C144="Restaurante",Modelo!$B$11,Modelo!$B$10)))</f>
        <v/>
      </c>
      <c r="K144">
        <f>IF(G144="","",G144*IF(D144="Pastry",Modelo!$B$8,Modelo!$B$7))</f>
        <v/>
      </c>
    </row>
    <row r="145">
      <c r="A145" s="10" t="n"/>
      <c r="B145">
        <f>IF(A145="","",ISOWEEKNUM(A145))</f>
        <v/>
      </c>
      <c r="G145">
        <f>IF(E145="","",E145-F145)</f>
        <v/>
      </c>
      <c r="J145">
        <f>IF(F145="","",(F145+I145)*IF(D145="Pastry",Modelo!$B$12,IF(C145="Restaurante",Modelo!$B$11,Modelo!$B$10)))</f>
        <v/>
      </c>
      <c r="K145">
        <f>IF(G145="","",G145*IF(D145="Pastry",Modelo!$B$8,Modelo!$B$7))</f>
        <v/>
      </c>
    </row>
    <row r="146">
      <c r="A146" s="10" t="n"/>
      <c r="B146">
        <f>IF(A146="","",ISOWEEKNUM(A146))</f>
        <v/>
      </c>
      <c r="G146">
        <f>IF(E146="","",E146-F146)</f>
        <v/>
      </c>
      <c r="J146">
        <f>IF(F146="","",(F146+I146)*IF(D146="Pastry",Modelo!$B$12,IF(C146="Restaurante",Modelo!$B$11,Modelo!$B$10)))</f>
        <v/>
      </c>
      <c r="K146">
        <f>IF(G146="","",G146*IF(D146="Pastry",Modelo!$B$8,Modelo!$B$7))</f>
        <v/>
      </c>
    </row>
    <row r="147">
      <c r="A147" s="10" t="n"/>
      <c r="B147">
        <f>IF(A147="","",ISOWEEKNUM(A147))</f>
        <v/>
      </c>
      <c r="G147">
        <f>IF(E147="","",E147-F147)</f>
        <v/>
      </c>
      <c r="J147">
        <f>IF(F147="","",(F147+I147)*IF(D147="Pastry",Modelo!$B$12,IF(C147="Restaurante",Modelo!$B$11,Modelo!$B$10)))</f>
        <v/>
      </c>
      <c r="K147">
        <f>IF(G147="","",G147*IF(D147="Pastry",Modelo!$B$8,Modelo!$B$7))</f>
        <v/>
      </c>
    </row>
    <row r="148">
      <c r="A148" s="10" t="n"/>
      <c r="B148">
        <f>IF(A148="","",ISOWEEKNUM(A148))</f>
        <v/>
      </c>
      <c r="G148">
        <f>IF(E148="","",E148-F148)</f>
        <v/>
      </c>
      <c r="J148">
        <f>IF(F148="","",(F148+I148)*IF(D148="Pastry",Modelo!$B$12,IF(C148="Restaurante",Modelo!$B$11,Modelo!$B$10)))</f>
        <v/>
      </c>
      <c r="K148">
        <f>IF(G148="","",G148*IF(D148="Pastry",Modelo!$B$8,Modelo!$B$7))</f>
        <v/>
      </c>
    </row>
    <row r="149">
      <c r="A149" s="10" t="n"/>
      <c r="B149">
        <f>IF(A149="","",ISOWEEKNUM(A149))</f>
        <v/>
      </c>
      <c r="G149">
        <f>IF(E149="","",E149-F149)</f>
        <v/>
      </c>
      <c r="J149">
        <f>IF(F149="","",(F149+I149)*IF(D149="Pastry",Modelo!$B$12,IF(C149="Restaurante",Modelo!$B$11,Modelo!$B$10)))</f>
        <v/>
      </c>
      <c r="K149">
        <f>IF(G149="","",G149*IF(D149="Pastry",Modelo!$B$8,Modelo!$B$7))</f>
        <v/>
      </c>
    </row>
    <row r="150">
      <c r="A150" s="10" t="n"/>
      <c r="B150">
        <f>IF(A150="","",ISOWEEKNUM(A150))</f>
        <v/>
      </c>
      <c r="G150">
        <f>IF(E150="","",E150-F150)</f>
        <v/>
      </c>
      <c r="J150">
        <f>IF(F150="","",(F150+I150)*IF(D150="Pastry",Modelo!$B$12,IF(C150="Restaurante",Modelo!$B$11,Modelo!$B$10)))</f>
        <v/>
      </c>
      <c r="K150">
        <f>IF(G150="","",G150*IF(D150="Pastry",Modelo!$B$8,Modelo!$B$7))</f>
        <v/>
      </c>
    </row>
    <row r="151">
      <c r="A151" s="10" t="n"/>
      <c r="B151">
        <f>IF(A151="","",ISOWEEKNUM(A151))</f>
        <v/>
      </c>
      <c r="G151">
        <f>IF(E151="","",E151-F151)</f>
        <v/>
      </c>
      <c r="J151">
        <f>IF(F151="","",(F151+I151)*IF(D151="Pastry",Modelo!$B$12,IF(C151="Restaurante",Modelo!$B$11,Modelo!$B$10)))</f>
        <v/>
      </c>
      <c r="K151">
        <f>IF(G151="","",G151*IF(D151="Pastry",Modelo!$B$8,Modelo!$B$7))</f>
        <v/>
      </c>
    </row>
    <row r="152">
      <c r="A152" s="10" t="n"/>
      <c r="B152">
        <f>IF(A152="","",ISOWEEKNUM(A152))</f>
        <v/>
      </c>
      <c r="G152">
        <f>IF(E152="","",E152-F152)</f>
        <v/>
      </c>
      <c r="J152">
        <f>IF(F152="","",(F152+I152)*IF(D152="Pastry",Modelo!$B$12,IF(C152="Restaurante",Modelo!$B$11,Modelo!$B$10)))</f>
        <v/>
      </c>
      <c r="K152">
        <f>IF(G152="","",G152*IF(D152="Pastry",Modelo!$B$8,Modelo!$B$7))</f>
        <v/>
      </c>
    </row>
    <row r="153">
      <c r="A153" s="10" t="n"/>
      <c r="B153">
        <f>IF(A153="","",ISOWEEKNUM(A153))</f>
        <v/>
      </c>
      <c r="G153">
        <f>IF(E153="","",E153-F153)</f>
        <v/>
      </c>
      <c r="J153">
        <f>IF(F153="","",(F153+I153)*IF(D153="Pastry",Modelo!$B$12,IF(C153="Restaurante",Modelo!$B$11,Modelo!$B$10)))</f>
        <v/>
      </c>
      <c r="K153">
        <f>IF(G153="","",G153*IF(D153="Pastry",Modelo!$B$8,Modelo!$B$7))</f>
        <v/>
      </c>
    </row>
    <row r="154">
      <c r="A154" s="10" t="n"/>
      <c r="B154">
        <f>IF(A154="","",ISOWEEKNUM(A154))</f>
        <v/>
      </c>
      <c r="G154">
        <f>IF(E154="","",E154-F154)</f>
        <v/>
      </c>
      <c r="J154">
        <f>IF(F154="","",(F154+I154)*IF(D154="Pastry",Modelo!$B$12,IF(C154="Restaurante",Modelo!$B$11,Modelo!$B$10)))</f>
        <v/>
      </c>
      <c r="K154">
        <f>IF(G154="","",G154*IF(D154="Pastry",Modelo!$B$8,Modelo!$B$7))</f>
        <v/>
      </c>
    </row>
    <row r="155">
      <c r="A155" s="10" t="n"/>
      <c r="B155">
        <f>IF(A155="","",ISOWEEKNUM(A155))</f>
        <v/>
      </c>
      <c r="G155">
        <f>IF(E155="","",E155-F155)</f>
        <v/>
      </c>
      <c r="J155">
        <f>IF(F155="","",(F155+I155)*IF(D155="Pastry",Modelo!$B$12,IF(C155="Restaurante",Modelo!$B$11,Modelo!$B$10)))</f>
        <v/>
      </c>
      <c r="K155">
        <f>IF(G155="","",G155*IF(D155="Pastry",Modelo!$B$8,Modelo!$B$7))</f>
        <v/>
      </c>
    </row>
    <row r="156">
      <c r="A156" s="10" t="n"/>
      <c r="B156">
        <f>IF(A156="","",ISOWEEKNUM(A156))</f>
        <v/>
      </c>
      <c r="G156">
        <f>IF(E156="","",E156-F156)</f>
        <v/>
      </c>
      <c r="J156">
        <f>IF(F156="","",(F156+I156)*IF(D156="Pastry",Modelo!$B$12,IF(C156="Restaurante",Modelo!$B$11,Modelo!$B$10)))</f>
        <v/>
      </c>
      <c r="K156">
        <f>IF(G156="","",G156*IF(D156="Pastry",Modelo!$B$8,Modelo!$B$7))</f>
        <v/>
      </c>
    </row>
    <row r="157">
      <c r="A157" s="10" t="n"/>
      <c r="B157">
        <f>IF(A157="","",ISOWEEKNUM(A157))</f>
        <v/>
      </c>
      <c r="G157">
        <f>IF(E157="","",E157-F157)</f>
        <v/>
      </c>
      <c r="J157">
        <f>IF(F157="","",(F157+I157)*IF(D157="Pastry",Modelo!$B$12,IF(C157="Restaurante",Modelo!$B$11,Modelo!$B$10)))</f>
        <v/>
      </c>
      <c r="K157">
        <f>IF(G157="","",G157*IF(D157="Pastry",Modelo!$B$8,Modelo!$B$7))</f>
        <v/>
      </c>
    </row>
    <row r="158">
      <c r="A158" s="10" t="n"/>
      <c r="B158">
        <f>IF(A158="","",ISOWEEKNUM(A158))</f>
        <v/>
      </c>
      <c r="G158">
        <f>IF(E158="","",E158-F158)</f>
        <v/>
      </c>
      <c r="J158">
        <f>IF(F158="","",(F158+I158)*IF(D158="Pastry",Modelo!$B$12,IF(C158="Restaurante",Modelo!$B$11,Modelo!$B$10)))</f>
        <v/>
      </c>
      <c r="K158">
        <f>IF(G158="","",G158*IF(D158="Pastry",Modelo!$B$8,Modelo!$B$7))</f>
        <v/>
      </c>
    </row>
    <row r="159">
      <c r="A159" s="10" t="n"/>
      <c r="B159">
        <f>IF(A159="","",ISOWEEKNUM(A159))</f>
        <v/>
      </c>
      <c r="G159">
        <f>IF(E159="","",E159-F159)</f>
        <v/>
      </c>
      <c r="J159">
        <f>IF(F159="","",(F159+I159)*IF(D159="Pastry",Modelo!$B$12,IF(C159="Restaurante",Modelo!$B$11,Modelo!$B$10)))</f>
        <v/>
      </c>
      <c r="K159">
        <f>IF(G159="","",G159*IF(D159="Pastry",Modelo!$B$8,Modelo!$B$7))</f>
        <v/>
      </c>
    </row>
    <row r="160">
      <c r="A160" s="10" t="n"/>
      <c r="B160">
        <f>IF(A160="","",ISOWEEKNUM(A160))</f>
        <v/>
      </c>
      <c r="G160">
        <f>IF(E160="","",E160-F160)</f>
        <v/>
      </c>
      <c r="J160">
        <f>IF(F160="","",(F160+I160)*IF(D160="Pastry",Modelo!$B$12,IF(C160="Restaurante",Modelo!$B$11,Modelo!$B$10)))</f>
        <v/>
      </c>
      <c r="K160">
        <f>IF(G160="","",G160*IF(D160="Pastry",Modelo!$B$8,Modelo!$B$7))</f>
        <v/>
      </c>
    </row>
    <row r="161">
      <c r="A161" s="10" t="n"/>
      <c r="B161">
        <f>IF(A161="","",ISOWEEKNUM(A161))</f>
        <v/>
      </c>
      <c r="G161">
        <f>IF(E161="","",E161-F161)</f>
        <v/>
      </c>
      <c r="J161">
        <f>IF(F161="","",(F161+I161)*IF(D161="Pastry",Modelo!$B$12,IF(C161="Restaurante",Modelo!$B$11,Modelo!$B$10)))</f>
        <v/>
      </c>
      <c r="K161">
        <f>IF(G161="","",G161*IF(D161="Pastry",Modelo!$B$8,Modelo!$B$7))</f>
        <v/>
      </c>
    </row>
    <row r="162">
      <c r="A162" s="10" t="n"/>
      <c r="B162">
        <f>IF(A162="","",ISOWEEKNUM(A162))</f>
        <v/>
      </c>
      <c r="G162">
        <f>IF(E162="","",E162-F162)</f>
        <v/>
      </c>
      <c r="J162">
        <f>IF(F162="","",(F162+I162)*IF(D162="Pastry",Modelo!$B$12,IF(C162="Restaurante",Modelo!$B$11,Modelo!$B$10)))</f>
        <v/>
      </c>
      <c r="K162">
        <f>IF(G162="","",G162*IF(D162="Pastry",Modelo!$B$8,Modelo!$B$7))</f>
        <v/>
      </c>
    </row>
    <row r="163">
      <c r="A163" s="10" t="n"/>
      <c r="B163">
        <f>IF(A163="","",ISOWEEKNUM(A163))</f>
        <v/>
      </c>
      <c r="G163">
        <f>IF(E163="","",E163-F163)</f>
        <v/>
      </c>
      <c r="J163">
        <f>IF(F163="","",(F163+I163)*IF(D163="Pastry",Modelo!$B$12,IF(C163="Restaurante",Modelo!$B$11,Modelo!$B$10)))</f>
        <v/>
      </c>
      <c r="K163">
        <f>IF(G163="","",G163*IF(D163="Pastry",Modelo!$B$8,Modelo!$B$7))</f>
        <v/>
      </c>
    </row>
    <row r="164">
      <c r="A164" s="10" t="n"/>
      <c r="B164">
        <f>IF(A164="","",ISOWEEKNUM(A164))</f>
        <v/>
      </c>
      <c r="G164">
        <f>IF(E164="","",E164-F164)</f>
        <v/>
      </c>
      <c r="J164">
        <f>IF(F164="","",(F164+I164)*IF(D164="Pastry",Modelo!$B$12,IF(C164="Restaurante",Modelo!$B$11,Modelo!$B$10)))</f>
        <v/>
      </c>
      <c r="K164">
        <f>IF(G164="","",G164*IF(D164="Pastry",Modelo!$B$8,Modelo!$B$7))</f>
        <v/>
      </c>
    </row>
    <row r="165">
      <c r="A165" s="10" t="n"/>
      <c r="B165">
        <f>IF(A165="","",ISOWEEKNUM(A165))</f>
        <v/>
      </c>
      <c r="G165">
        <f>IF(E165="","",E165-F165)</f>
        <v/>
      </c>
      <c r="J165">
        <f>IF(F165="","",(F165+I165)*IF(D165="Pastry",Modelo!$B$12,IF(C165="Restaurante",Modelo!$B$11,Modelo!$B$10)))</f>
        <v/>
      </c>
      <c r="K165">
        <f>IF(G165="","",G165*IF(D165="Pastry",Modelo!$B$8,Modelo!$B$7))</f>
        <v/>
      </c>
    </row>
    <row r="166">
      <c r="A166" s="10" t="n"/>
      <c r="B166">
        <f>IF(A166="","",ISOWEEKNUM(A166))</f>
        <v/>
      </c>
      <c r="G166">
        <f>IF(E166="","",E166-F166)</f>
        <v/>
      </c>
      <c r="J166">
        <f>IF(F166="","",(F166+I166)*IF(D166="Pastry",Modelo!$B$12,IF(C166="Restaurante",Modelo!$B$11,Modelo!$B$10)))</f>
        <v/>
      </c>
      <c r="K166">
        <f>IF(G166="","",G166*IF(D166="Pastry",Modelo!$B$8,Modelo!$B$7))</f>
        <v/>
      </c>
    </row>
    <row r="167">
      <c r="A167" s="10" t="n"/>
      <c r="B167">
        <f>IF(A167="","",ISOWEEKNUM(A167))</f>
        <v/>
      </c>
      <c r="G167">
        <f>IF(E167="","",E167-F167)</f>
        <v/>
      </c>
      <c r="J167">
        <f>IF(F167="","",(F167+I167)*IF(D167="Pastry",Modelo!$B$12,IF(C167="Restaurante",Modelo!$B$11,Modelo!$B$10)))</f>
        <v/>
      </c>
      <c r="K167">
        <f>IF(G167="","",G167*IF(D167="Pastry",Modelo!$B$8,Modelo!$B$7))</f>
        <v/>
      </c>
    </row>
    <row r="168">
      <c r="A168" s="10" t="n"/>
      <c r="B168">
        <f>IF(A168="","",ISOWEEKNUM(A168))</f>
        <v/>
      </c>
      <c r="G168">
        <f>IF(E168="","",E168-F168)</f>
        <v/>
      </c>
      <c r="J168">
        <f>IF(F168="","",(F168+I168)*IF(D168="Pastry",Modelo!$B$12,IF(C168="Restaurante",Modelo!$B$11,Modelo!$B$10)))</f>
        <v/>
      </c>
      <c r="K168">
        <f>IF(G168="","",G168*IF(D168="Pastry",Modelo!$B$8,Modelo!$B$7))</f>
        <v/>
      </c>
    </row>
    <row r="169">
      <c r="A169" s="10" t="n"/>
      <c r="B169">
        <f>IF(A169="","",ISOWEEKNUM(A169))</f>
        <v/>
      </c>
      <c r="G169">
        <f>IF(E169="","",E169-F169)</f>
        <v/>
      </c>
      <c r="J169">
        <f>IF(F169="","",(F169+I169)*IF(D169="Pastry",Modelo!$B$12,IF(C169="Restaurante",Modelo!$B$11,Modelo!$B$10)))</f>
        <v/>
      </c>
      <c r="K169">
        <f>IF(G169="","",G169*IF(D169="Pastry",Modelo!$B$8,Modelo!$B$7))</f>
        <v/>
      </c>
    </row>
    <row r="170">
      <c r="A170" s="10" t="n"/>
      <c r="B170">
        <f>IF(A170="","",ISOWEEKNUM(A170))</f>
        <v/>
      </c>
      <c r="G170">
        <f>IF(E170="","",E170-F170)</f>
        <v/>
      </c>
      <c r="J170">
        <f>IF(F170="","",(F170+I170)*IF(D170="Pastry",Modelo!$B$12,IF(C170="Restaurante",Modelo!$B$11,Modelo!$B$10)))</f>
        <v/>
      </c>
      <c r="K170">
        <f>IF(G170="","",G170*IF(D170="Pastry",Modelo!$B$8,Modelo!$B$7))</f>
        <v/>
      </c>
    </row>
    <row r="171">
      <c r="A171" s="10" t="n"/>
      <c r="B171">
        <f>IF(A171="","",ISOWEEKNUM(A171))</f>
        <v/>
      </c>
      <c r="G171">
        <f>IF(E171="","",E171-F171)</f>
        <v/>
      </c>
      <c r="J171">
        <f>IF(F171="","",(F171+I171)*IF(D171="Pastry",Modelo!$B$12,IF(C171="Restaurante",Modelo!$B$11,Modelo!$B$10)))</f>
        <v/>
      </c>
      <c r="K171">
        <f>IF(G171="","",G171*IF(D171="Pastry",Modelo!$B$8,Modelo!$B$7))</f>
        <v/>
      </c>
    </row>
    <row r="172">
      <c r="A172" s="10" t="n"/>
      <c r="B172">
        <f>IF(A172="","",ISOWEEKNUM(A172))</f>
        <v/>
      </c>
      <c r="G172">
        <f>IF(E172="","",E172-F172)</f>
        <v/>
      </c>
      <c r="J172">
        <f>IF(F172="","",(F172+I172)*IF(D172="Pastry",Modelo!$B$12,IF(C172="Restaurante",Modelo!$B$11,Modelo!$B$10)))</f>
        <v/>
      </c>
      <c r="K172">
        <f>IF(G172="","",G172*IF(D172="Pastry",Modelo!$B$8,Modelo!$B$7))</f>
        <v/>
      </c>
    </row>
    <row r="173">
      <c r="A173" s="10" t="n"/>
      <c r="B173">
        <f>IF(A173="","",ISOWEEKNUM(A173))</f>
        <v/>
      </c>
      <c r="G173">
        <f>IF(E173="","",E173-F173)</f>
        <v/>
      </c>
      <c r="J173">
        <f>IF(F173="","",(F173+I173)*IF(D173="Pastry",Modelo!$B$12,IF(C173="Restaurante",Modelo!$B$11,Modelo!$B$10)))</f>
        <v/>
      </c>
      <c r="K173">
        <f>IF(G173="","",G173*IF(D173="Pastry",Modelo!$B$8,Modelo!$B$7))</f>
        <v/>
      </c>
    </row>
    <row r="174">
      <c r="A174" s="10" t="n"/>
      <c r="B174">
        <f>IF(A174="","",ISOWEEKNUM(A174))</f>
        <v/>
      </c>
      <c r="G174">
        <f>IF(E174="","",E174-F174)</f>
        <v/>
      </c>
      <c r="J174">
        <f>IF(F174="","",(F174+I174)*IF(D174="Pastry",Modelo!$B$12,IF(C174="Restaurante",Modelo!$B$11,Modelo!$B$10)))</f>
        <v/>
      </c>
      <c r="K174">
        <f>IF(G174="","",G174*IF(D174="Pastry",Modelo!$B$8,Modelo!$B$7))</f>
        <v/>
      </c>
    </row>
    <row r="175">
      <c r="A175" s="10" t="n"/>
      <c r="B175">
        <f>IF(A175="","",ISOWEEKNUM(A175))</f>
        <v/>
      </c>
      <c r="G175">
        <f>IF(E175="","",E175-F175)</f>
        <v/>
      </c>
      <c r="J175">
        <f>IF(F175="","",(F175+I175)*IF(D175="Pastry",Modelo!$B$12,IF(C175="Restaurante",Modelo!$B$11,Modelo!$B$10)))</f>
        <v/>
      </c>
      <c r="K175">
        <f>IF(G175="","",G175*IF(D175="Pastry",Modelo!$B$8,Modelo!$B$7))</f>
        <v/>
      </c>
    </row>
    <row r="176">
      <c r="A176" s="10" t="n"/>
      <c r="B176">
        <f>IF(A176="","",ISOWEEKNUM(A176))</f>
        <v/>
      </c>
      <c r="G176">
        <f>IF(E176="","",E176-F176)</f>
        <v/>
      </c>
      <c r="J176">
        <f>IF(F176="","",(F176+I176)*IF(D176="Pastry",Modelo!$B$12,IF(C176="Restaurante",Modelo!$B$11,Modelo!$B$10)))</f>
        <v/>
      </c>
      <c r="K176">
        <f>IF(G176="","",G176*IF(D176="Pastry",Modelo!$B$8,Modelo!$B$7))</f>
        <v/>
      </c>
    </row>
    <row r="177">
      <c r="A177" s="10" t="n"/>
      <c r="B177">
        <f>IF(A177="","",ISOWEEKNUM(A177))</f>
        <v/>
      </c>
      <c r="G177">
        <f>IF(E177="","",E177-F177)</f>
        <v/>
      </c>
      <c r="J177">
        <f>IF(F177="","",(F177+I177)*IF(D177="Pastry",Modelo!$B$12,IF(C177="Restaurante",Modelo!$B$11,Modelo!$B$10)))</f>
        <v/>
      </c>
      <c r="K177">
        <f>IF(G177="","",G177*IF(D177="Pastry",Modelo!$B$8,Modelo!$B$7))</f>
        <v/>
      </c>
    </row>
    <row r="178">
      <c r="A178" s="10" t="n"/>
      <c r="B178">
        <f>IF(A178="","",ISOWEEKNUM(A178))</f>
        <v/>
      </c>
      <c r="G178">
        <f>IF(E178="","",E178-F178)</f>
        <v/>
      </c>
      <c r="J178">
        <f>IF(F178="","",(F178+I178)*IF(D178="Pastry",Modelo!$B$12,IF(C178="Restaurante",Modelo!$B$11,Modelo!$B$10)))</f>
        <v/>
      </c>
      <c r="K178">
        <f>IF(G178="","",G178*IF(D178="Pastry",Modelo!$B$8,Modelo!$B$7))</f>
        <v/>
      </c>
    </row>
    <row r="179">
      <c r="A179" s="10" t="n"/>
      <c r="B179">
        <f>IF(A179="","",ISOWEEKNUM(A179))</f>
        <v/>
      </c>
      <c r="G179">
        <f>IF(E179="","",E179-F179)</f>
        <v/>
      </c>
      <c r="J179">
        <f>IF(F179="","",(F179+I179)*IF(D179="Pastry",Modelo!$B$12,IF(C179="Restaurante",Modelo!$B$11,Modelo!$B$10)))</f>
        <v/>
      </c>
      <c r="K179">
        <f>IF(G179="","",G179*IF(D179="Pastry",Modelo!$B$8,Modelo!$B$7))</f>
        <v/>
      </c>
    </row>
    <row r="180">
      <c r="A180" s="10" t="n"/>
      <c r="B180">
        <f>IF(A180="","",ISOWEEKNUM(A180))</f>
        <v/>
      </c>
      <c r="G180">
        <f>IF(E180="","",E180-F180)</f>
        <v/>
      </c>
      <c r="J180">
        <f>IF(F180="","",(F180+I180)*IF(D180="Pastry",Modelo!$B$12,IF(C180="Restaurante",Modelo!$B$11,Modelo!$B$10)))</f>
        <v/>
      </c>
      <c r="K180">
        <f>IF(G180="","",G180*IF(D180="Pastry",Modelo!$B$8,Modelo!$B$7))</f>
        <v/>
      </c>
    </row>
    <row r="181">
      <c r="A181" s="10" t="n"/>
      <c r="B181">
        <f>IF(A181="","",ISOWEEKNUM(A181))</f>
        <v/>
      </c>
      <c r="G181">
        <f>IF(E181="","",E181-F181)</f>
        <v/>
      </c>
      <c r="J181">
        <f>IF(F181="","",(F181+I181)*IF(D181="Pastry",Modelo!$B$12,IF(C181="Restaurante",Modelo!$B$11,Modelo!$B$10)))</f>
        <v/>
      </c>
      <c r="K181">
        <f>IF(G181="","",G181*IF(D181="Pastry",Modelo!$B$8,Modelo!$B$7))</f>
        <v/>
      </c>
    </row>
    <row r="182">
      <c r="A182" s="10" t="n"/>
      <c r="B182">
        <f>IF(A182="","",ISOWEEKNUM(A182))</f>
        <v/>
      </c>
      <c r="G182">
        <f>IF(E182="","",E182-F182)</f>
        <v/>
      </c>
      <c r="J182">
        <f>IF(F182="","",(F182+I182)*IF(D182="Pastry",Modelo!$B$12,IF(C182="Restaurante",Modelo!$B$11,Modelo!$B$10)))</f>
        <v/>
      </c>
      <c r="K182">
        <f>IF(G182="","",G182*IF(D182="Pastry",Modelo!$B$8,Modelo!$B$7))</f>
        <v/>
      </c>
    </row>
    <row r="183">
      <c r="A183" s="10" t="n"/>
      <c r="B183">
        <f>IF(A183="","",ISOWEEKNUM(A183))</f>
        <v/>
      </c>
      <c r="G183">
        <f>IF(E183="","",E183-F183)</f>
        <v/>
      </c>
      <c r="J183">
        <f>IF(F183="","",(F183+I183)*IF(D183="Pastry",Modelo!$B$12,IF(C183="Restaurante",Modelo!$B$11,Modelo!$B$10)))</f>
        <v/>
      </c>
      <c r="K183">
        <f>IF(G183="","",G183*IF(D183="Pastry",Modelo!$B$8,Modelo!$B$7))</f>
        <v/>
      </c>
    </row>
    <row r="184">
      <c r="A184" s="10" t="n"/>
      <c r="B184">
        <f>IF(A184="","",ISOWEEKNUM(A184))</f>
        <v/>
      </c>
      <c r="G184">
        <f>IF(E184="","",E184-F184)</f>
        <v/>
      </c>
      <c r="J184">
        <f>IF(F184="","",(F184+I184)*IF(D184="Pastry",Modelo!$B$12,IF(C184="Restaurante",Modelo!$B$11,Modelo!$B$10)))</f>
        <v/>
      </c>
      <c r="K184">
        <f>IF(G184="","",G184*IF(D184="Pastry",Modelo!$B$8,Modelo!$B$7))</f>
        <v/>
      </c>
    </row>
    <row r="185">
      <c r="A185" s="10" t="n"/>
      <c r="B185">
        <f>IF(A185="","",ISOWEEKNUM(A185))</f>
        <v/>
      </c>
      <c r="G185">
        <f>IF(E185="","",E185-F185)</f>
        <v/>
      </c>
      <c r="J185">
        <f>IF(F185="","",(F185+I185)*IF(D185="Pastry",Modelo!$B$12,IF(C185="Restaurante",Modelo!$B$11,Modelo!$B$10)))</f>
        <v/>
      </c>
      <c r="K185">
        <f>IF(G185="","",G185*IF(D185="Pastry",Modelo!$B$8,Modelo!$B$7))</f>
        <v/>
      </c>
    </row>
    <row r="186">
      <c r="A186" s="10" t="n"/>
      <c r="B186">
        <f>IF(A186="","",ISOWEEKNUM(A186))</f>
        <v/>
      </c>
      <c r="G186">
        <f>IF(E186="","",E186-F186)</f>
        <v/>
      </c>
      <c r="J186">
        <f>IF(F186="","",(F186+I186)*IF(D186="Pastry",Modelo!$B$12,IF(C186="Restaurante",Modelo!$B$11,Modelo!$B$10)))</f>
        <v/>
      </c>
      <c r="K186">
        <f>IF(G186="","",G186*IF(D186="Pastry",Modelo!$B$8,Modelo!$B$7))</f>
        <v/>
      </c>
    </row>
    <row r="187">
      <c r="A187" s="10" t="n"/>
      <c r="B187">
        <f>IF(A187="","",ISOWEEKNUM(A187))</f>
        <v/>
      </c>
      <c r="G187">
        <f>IF(E187="","",E187-F187)</f>
        <v/>
      </c>
      <c r="J187">
        <f>IF(F187="","",(F187+I187)*IF(D187="Pastry",Modelo!$B$12,IF(C187="Restaurante",Modelo!$B$11,Modelo!$B$10)))</f>
        <v/>
      </c>
      <c r="K187">
        <f>IF(G187="","",G187*IF(D187="Pastry",Modelo!$B$8,Modelo!$B$7))</f>
        <v/>
      </c>
    </row>
    <row r="188">
      <c r="A188" s="10" t="n"/>
      <c r="B188">
        <f>IF(A188="","",ISOWEEKNUM(A188))</f>
        <v/>
      </c>
      <c r="G188">
        <f>IF(E188="","",E188-F188)</f>
        <v/>
      </c>
      <c r="J188">
        <f>IF(F188="","",(F188+I188)*IF(D188="Pastry",Modelo!$B$12,IF(C188="Restaurante",Modelo!$B$11,Modelo!$B$10)))</f>
        <v/>
      </c>
      <c r="K188">
        <f>IF(G188="","",G188*IF(D188="Pastry",Modelo!$B$8,Modelo!$B$7))</f>
        <v/>
      </c>
    </row>
    <row r="189">
      <c r="A189" s="10" t="n"/>
      <c r="B189">
        <f>IF(A189="","",ISOWEEKNUM(A189))</f>
        <v/>
      </c>
      <c r="G189">
        <f>IF(E189="","",E189-F189)</f>
        <v/>
      </c>
      <c r="J189">
        <f>IF(F189="","",(F189+I189)*IF(D189="Pastry",Modelo!$B$12,IF(C189="Restaurante",Modelo!$B$11,Modelo!$B$10)))</f>
        <v/>
      </c>
      <c r="K189">
        <f>IF(G189="","",G189*IF(D189="Pastry",Modelo!$B$8,Modelo!$B$7))</f>
        <v/>
      </c>
    </row>
    <row r="190">
      <c r="A190" s="10" t="n"/>
      <c r="B190">
        <f>IF(A190="","",ISOWEEKNUM(A190))</f>
        <v/>
      </c>
      <c r="G190">
        <f>IF(E190="","",E190-F190)</f>
        <v/>
      </c>
      <c r="J190">
        <f>IF(F190="","",(F190+I190)*IF(D190="Pastry",Modelo!$B$12,IF(C190="Restaurante",Modelo!$B$11,Modelo!$B$10)))</f>
        <v/>
      </c>
      <c r="K190">
        <f>IF(G190="","",G190*IF(D190="Pastry",Modelo!$B$8,Modelo!$B$7))</f>
        <v/>
      </c>
    </row>
    <row r="191">
      <c r="A191" s="10" t="n"/>
      <c r="B191">
        <f>IF(A191="","",ISOWEEKNUM(A191))</f>
        <v/>
      </c>
      <c r="G191">
        <f>IF(E191="","",E191-F191)</f>
        <v/>
      </c>
      <c r="J191">
        <f>IF(F191="","",(F191+I191)*IF(D191="Pastry",Modelo!$B$12,IF(C191="Restaurante",Modelo!$B$11,Modelo!$B$10)))</f>
        <v/>
      </c>
      <c r="K191">
        <f>IF(G191="","",G191*IF(D191="Pastry",Modelo!$B$8,Modelo!$B$7))</f>
        <v/>
      </c>
    </row>
    <row r="192">
      <c r="A192" s="10" t="n"/>
      <c r="B192">
        <f>IF(A192="","",ISOWEEKNUM(A192))</f>
        <v/>
      </c>
      <c r="G192">
        <f>IF(E192="","",E192-F192)</f>
        <v/>
      </c>
      <c r="J192">
        <f>IF(F192="","",(F192+I192)*IF(D192="Pastry",Modelo!$B$12,IF(C192="Restaurante",Modelo!$B$11,Modelo!$B$10)))</f>
        <v/>
      </c>
      <c r="K192">
        <f>IF(G192="","",G192*IF(D192="Pastry",Modelo!$B$8,Modelo!$B$7))</f>
        <v/>
      </c>
    </row>
    <row r="193">
      <c r="A193" s="10" t="n"/>
      <c r="B193">
        <f>IF(A193="","",ISOWEEKNUM(A193))</f>
        <v/>
      </c>
      <c r="G193">
        <f>IF(E193="","",E193-F193)</f>
        <v/>
      </c>
      <c r="J193">
        <f>IF(F193="","",(F193+I193)*IF(D193="Pastry",Modelo!$B$12,IF(C193="Restaurante",Modelo!$B$11,Modelo!$B$10)))</f>
        <v/>
      </c>
      <c r="K193">
        <f>IF(G193="","",G193*IF(D193="Pastry",Modelo!$B$8,Modelo!$B$7))</f>
        <v/>
      </c>
    </row>
    <row r="194">
      <c r="A194" s="10" t="n"/>
      <c r="B194">
        <f>IF(A194="","",ISOWEEKNUM(A194))</f>
        <v/>
      </c>
      <c r="G194">
        <f>IF(E194="","",E194-F194)</f>
        <v/>
      </c>
      <c r="J194">
        <f>IF(F194="","",(F194+I194)*IF(D194="Pastry",Modelo!$B$12,IF(C194="Restaurante",Modelo!$B$11,Modelo!$B$10)))</f>
        <v/>
      </c>
      <c r="K194">
        <f>IF(G194="","",G194*IF(D194="Pastry",Modelo!$B$8,Modelo!$B$7))</f>
        <v/>
      </c>
    </row>
    <row r="195">
      <c r="A195" s="10" t="n"/>
      <c r="B195">
        <f>IF(A195="","",ISOWEEKNUM(A195))</f>
        <v/>
      </c>
      <c r="G195">
        <f>IF(E195="","",E195-F195)</f>
        <v/>
      </c>
      <c r="J195">
        <f>IF(F195="","",(F195+I195)*IF(D195="Pastry",Modelo!$B$12,IF(C195="Restaurante",Modelo!$B$11,Modelo!$B$10)))</f>
        <v/>
      </c>
      <c r="K195">
        <f>IF(G195="","",G195*IF(D195="Pastry",Modelo!$B$8,Modelo!$B$7))</f>
        <v/>
      </c>
    </row>
    <row r="196">
      <c r="A196" s="10" t="n"/>
      <c r="B196">
        <f>IF(A196="","",ISOWEEKNUM(A196))</f>
        <v/>
      </c>
      <c r="G196">
        <f>IF(E196="","",E196-F196)</f>
        <v/>
      </c>
      <c r="J196">
        <f>IF(F196="","",(F196+I196)*IF(D196="Pastry",Modelo!$B$12,IF(C196="Restaurante",Modelo!$B$11,Modelo!$B$10)))</f>
        <v/>
      </c>
      <c r="K196">
        <f>IF(G196="","",G196*IF(D196="Pastry",Modelo!$B$8,Modelo!$B$7))</f>
        <v/>
      </c>
    </row>
    <row r="197">
      <c r="A197" s="10" t="n"/>
      <c r="B197">
        <f>IF(A197="","",ISOWEEKNUM(A197))</f>
        <v/>
      </c>
      <c r="G197">
        <f>IF(E197="","",E197-F197)</f>
        <v/>
      </c>
      <c r="J197">
        <f>IF(F197="","",(F197+I197)*IF(D197="Pastry",Modelo!$B$12,IF(C197="Restaurante",Modelo!$B$11,Modelo!$B$10)))</f>
        <v/>
      </c>
      <c r="K197">
        <f>IF(G197="","",G197*IF(D197="Pastry",Modelo!$B$8,Modelo!$B$7))</f>
        <v/>
      </c>
    </row>
    <row r="198">
      <c r="A198" s="10" t="n"/>
      <c r="B198">
        <f>IF(A198="","",ISOWEEKNUM(A198))</f>
        <v/>
      </c>
      <c r="G198">
        <f>IF(E198="","",E198-F198)</f>
        <v/>
      </c>
      <c r="J198">
        <f>IF(F198="","",(F198+I198)*IF(D198="Pastry",Modelo!$B$12,IF(C198="Restaurante",Modelo!$B$11,Modelo!$B$10)))</f>
        <v/>
      </c>
      <c r="K198">
        <f>IF(G198="","",G198*IF(D198="Pastry",Modelo!$B$8,Modelo!$B$7))</f>
        <v/>
      </c>
    </row>
    <row r="199">
      <c r="A199" s="10" t="n"/>
      <c r="B199">
        <f>IF(A199="","",ISOWEEKNUM(A199))</f>
        <v/>
      </c>
      <c r="G199">
        <f>IF(E199="","",E199-F199)</f>
        <v/>
      </c>
      <c r="J199">
        <f>IF(F199="","",(F199+I199)*IF(D199="Pastry",Modelo!$B$12,IF(C199="Restaurante",Modelo!$B$11,Modelo!$B$10)))</f>
        <v/>
      </c>
      <c r="K199">
        <f>IF(G199="","",G199*IF(D199="Pastry",Modelo!$B$8,Modelo!$B$7))</f>
        <v/>
      </c>
    </row>
    <row r="200">
      <c r="A200" s="10" t="n"/>
      <c r="B200">
        <f>IF(A200="","",ISOWEEKNUM(A200))</f>
        <v/>
      </c>
      <c r="G200">
        <f>IF(E200="","",E200-F200)</f>
        <v/>
      </c>
      <c r="J200">
        <f>IF(F200="","",(F200+I200)*IF(D200="Pastry",Modelo!$B$12,IF(C200="Restaurante",Modelo!$B$11,Modelo!$B$10)))</f>
        <v/>
      </c>
      <c r="K200">
        <f>IF(G200="","",G200*IF(D200="Pastry",Modelo!$B$8,Modelo!$B$7))</f>
        <v/>
      </c>
    </row>
    <row r="201">
      <c r="A201" s="10" t="n"/>
      <c r="B201">
        <f>IF(A201="","",ISOWEEKNUM(A201))</f>
        <v/>
      </c>
      <c r="G201">
        <f>IF(E201="","",E201-F201)</f>
        <v/>
      </c>
      <c r="J201">
        <f>IF(F201="","",(F201+I201)*IF(D201="Pastry",Modelo!$B$12,IF(C201="Restaurante",Modelo!$B$11,Modelo!$B$10)))</f>
        <v/>
      </c>
      <c r="K201">
        <f>IF(G201="","",G201*IF(D201="Pastry",Modelo!$B$8,Modelo!$B$7))</f>
        <v/>
      </c>
    </row>
    <row r="202">
      <c r="A202" s="10" t="n"/>
      <c r="B202">
        <f>IF(A202="","",ISOWEEKNUM(A202))</f>
        <v/>
      </c>
      <c r="G202">
        <f>IF(E202="","",E202-F202)</f>
        <v/>
      </c>
      <c r="J202">
        <f>IF(F202="","",(F202+I202)*IF(D202="Pastry",Modelo!$B$12,IF(C202="Restaurante",Modelo!$B$11,Modelo!$B$10)))</f>
        <v/>
      </c>
      <c r="K202">
        <f>IF(G202="","",G202*IF(D202="Pastry",Modelo!$B$8,Modelo!$B$7))</f>
        <v/>
      </c>
    </row>
  </sheetData>
  <dataValidations count="2">
    <dataValidation sqref="C3:C502" showDropDown="0" showInputMessage="0" showErrorMessage="0" allowBlank="0" type="list">
      <formula1>"Mercado,Tienda,WhatsApp,Restaurante,Retiro,Otro"</formula1>
    </dataValidation>
    <dataValidation sqref="D3:D502" showDropDown="0" showInputMessage="0" showErrorMessage="0" allowBlank="0" type="list">
      <formula1>"Pan blanco,Centeno,Kamut,Bagel,Pastry,Otro"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8" customWidth="1" min="4" max="4"/>
    <col width="15" customWidth="1" min="5" max="5"/>
    <col width="10" customWidth="1" min="6" max="6"/>
    <col width="18" customWidth="1" min="7" max="7"/>
  </cols>
  <sheetData>
    <row r="1">
      <c r="A1" s="9" t="inlineStr">
        <is>
          <t>Fecha</t>
        </is>
      </c>
      <c r="B1" s="9" t="inlineStr">
        <is>
          <t>Mes</t>
        </is>
      </c>
      <c r="C1" s="9" t="inlineStr">
        <is>
          <t>Producto</t>
        </is>
      </c>
      <c r="D1" s="9" t="inlineStr">
        <is>
          <t>Kg</t>
        </is>
      </c>
      <c r="E1" s="9" t="inlineStr">
        <is>
          <t>Precio total ($)</t>
        </is>
      </c>
      <c r="F1" s="9" t="inlineStr">
        <is>
          <t>$ por kg</t>
        </is>
      </c>
      <c r="G1" s="9" t="inlineStr">
        <is>
          <t>Proveedor</t>
        </is>
      </c>
    </row>
    <row r="2">
      <c r="A2" s="10" t="n"/>
      <c r="B2">
        <f>IF(A2="","",TEXT(A2,"yyyy-mm"))</f>
        <v/>
      </c>
      <c r="F2">
        <f>IF(OR(D2="",E2=""),"",E2/D2)</f>
        <v/>
      </c>
    </row>
    <row r="3">
      <c r="A3" s="10" t="n"/>
      <c r="B3">
        <f>IF(A3="","",TEXT(A3,"yyyy-mm"))</f>
        <v/>
      </c>
      <c r="F3">
        <f>IF(OR(D3="",E3=""),"",E3/D3)</f>
        <v/>
      </c>
    </row>
    <row r="4">
      <c r="A4" s="10" t="n"/>
      <c r="B4">
        <f>IF(A4="","",TEXT(A4,"yyyy-mm"))</f>
        <v/>
      </c>
      <c r="F4">
        <f>IF(OR(D4="",E4=""),"",E4/D4)</f>
        <v/>
      </c>
    </row>
    <row r="5">
      <c r="A5" s="10" t="n"/>
      <c r="B5">
        <f>IF(A5="","",TEXT(A5,"yyyy-mm"))</f>
        <v/>
      </c>
      <c r="F5">
        <f>IF(OR(D5="",E5=""),"",E5/D5)</f>
        <v/>
      </c>
    </row>
    <row r="6">
      <c r="A6" s="10" t="n"/>
      <c r="B6">
        <f>IF(A6="","",TEXT(A6,"yyyy-mm"))</f>
        <v/>
      </c>
      <c r="F6">
        <f>IF(OR(D6="",E6=""),"",E6/D6)</f>
        <v/>
      </c>
    </row>
    <row r="7">
      <c r="A7" s="10" t="n"/>
      <c r="B7">
        <f>IF(A7="","",TEXT(A7,"yyyy-mm"))</f>
        <v/>
      </c>
      <c r="F7">
        <f>IF(OR(D7="",E7=""),"",E7/D7)</f>
        <v/>
      </c>
    </row>
    <row r="8">
      <c r="A8" s="10" t="n"/>
      <c r="B8">
        <f>IF(A8="","",TEXT(A8,"yyyy-mm"))</f>
        <v/>
      </c>
      <c r="F8">
        <f>IF(OR(D8="",E8=""),"",E8/D8)</f>
        <v/>
      </c>
    </row>
    <row r="9">
      <c r="A9" s="10" t="n"/>
      <c r="B9">
        <f>IF(A9="","",TEXT(A9,"yyyy-mm"))</f>
        <v/>
      </c>
      <c r="F9">
        <f>IF(OR(D9="",E9=""),"",E9/D9)</f>
        <v/>
      </c>
    </row>
    <row r="10">
      <c r="A10" s="10" t="n"/>
      <c r="B10">
        <f>IF(A10="","",TEXT(A10,"yyyy-mm"))</f>
        <v/>
      </c>
      <c r="F10">
        <f>IF(OR(D10="",E10=""),"",E10/D10)</f>
        <v/>
      </c>
    </row>
    <row r="11">
      <c r="A11" s="10" t="n"/>
      <c r="B11">
        <f>IF(A11="","",TEXT(A11,"yyyy-mm"))</f>
        <v/>
      </c>
      <c r="F11">
        <f>IF(OR(D11="",E11=""),"",E11/D11)</f>
        <v/>
      </c>
    </row>
    <row r="12">
      <c r="A12" s="10" t="n"/>
      <c r="B12">
        <f>IF(A12="","",TEXT(A12,"yyyy-mm"))</f>
        <v/>
      </c>
      <c r="F12">
        <f>IF(OR(D12="",E12=""),"",E12/D12)</f>
        <v/>
      </c>
    </row>
    <row r="13">
      <c r="A13" s="10" t="n"/>
      <c r="B13">
        <f>IF(A13="","",TEXT(A13,"yyyy-mm"))</f>
        <v/>
      </c>
      <c r="F13">
        <f>IF(OR(D13="",E13=""),"",E13/D13)</f>
        <v/>
      </c>
    </row>
    <row r="14">
      <c r="A14" s="10" t="n"/>
      <c r="B14">
        <f>IF(A14="","",TEXT(A14,"yyyy-mm"))</f>
        <v/>
      </c>
      <c r="F14">
        <f>IF(OR(D14="",E14=""),"",E14/D14)</f>
        <v/>
      </c>
    </row>
    <row r="15">
      <c r="A15" s="10" t="n"/>
      <c r="B15">
        <f>IF(A15="","",TEXT(A15,"yyyy-mm"))</f>
        <v/>
      </c>
      <c r="F15">
        <f>IF(OR(D15="",E15=""),"",E15/D15)</f>
        <v/>
      </c>
    </row>
    <row r="16">
      <c r="A16" s="10" t="n"/>
      <c r="B16">
        <f>IF(A16="","",TEXT(A16,"yyyy-mm"))</f>
        <v/>
      </c>
      <c r="F16">
        <f>IF(OR(D16="",E16=""),"",E16/D16)</f>
        <v/>
      </c>
    </row>
    <row r="17">
      <c r="A17" s="10" t="n"/>
      <c r="B17">
        <f>IF(A17="","",TEXT(A17,"yyyy-mm"))</f>
        <v/>
      </c>
      <c r="F17">
        <f>IF(OR(D17="",E17=""),"",E17/D17)</f>
        <v/>
      </c>
    </row>
    <row r="18">
      <c r="A18" s="10" t="n"/>
      <c r="B18">
        <f>IF(A18="","",TEXT(A18,"yyyy-mm"))</f>
        <v/>
      </c>
      <c r="F18">
        <f>IF(OR(D18="",E18=""),"",E18/D18)</f>
        <v/>
      </c>
    </row>
    <row r="19">
      <c r="A19" s="10" t="n"/>
      <c r="B19">
        <f>IF(A19="","",TEXT(A19,"yyyy-mm"))</f>
        <v/>
      </c>
      <c r="F19">
        <f>IF(OR(D19="",E19=""),"",E19/D19)</f>
        <v/>
      </c>
    </row>
    <row r="20">
      <c r="A20" s="10" t="n"/>
      <c r="B20">
        <f>IF(A20="","",TEXT(A20,"yyyy-mm"))</f>
        <v/>
      </c>
      <c r="F20">
        <f>IF(OR(D20="",E20=""),"",E20/D20)</f>
        <v/>
      </c>
    </row>
    <row r="21">
      <c r="A21" s="10" t="n"/>
      <c r="B21">
        <f>IF(A21="","",TEXT(A21,"yyyy-mm"))</f>
        <v/>
      </c>
      <c r="F21">
        <f>IF(OR(D21="",E21=""),"",E21/D21)</f>
        <v/>
      </c>
    </row>
    <row r="22">
      <c r="A22" s="10" t="n"/>
      <c r="B22">
        <f>IF(A22="","",TEXT(A22,"yyyy-mm"))</f>
        <v/>
      </c>
      <c r="F22">
        <f>IF(OR(D22="",E22=""),"",E22/D22)</f>
        <v/>
      </c>
    </row>
    <row r="23">
      <c r="A23" s="10" t="n"/>
      <c r="B23">
        <f>IF(A23="","",TEXT(A23,"yyyy-mm"))</f>
        <v/>
      </c>
      <c r="F23">
        <f>IF(OR(D23="",E23=""),"",E23/D23)</f>
        <v/>
      </c>
    </row>
    <row r="24">
      <c r="A24" s="10" t="n"/>
      <c r="B24">
        <f>IF(A24="","",TEXT(A24,"yyyy-mm"))</f>
        <v/>
      </c>
      <c r="F24">
        <f>IF(OR(D24="",E24=""),"",E24/D24)</f>
        <v/>
      </c>
    </row>
    <row r="25">
      <c r="A25" s="10" t="n"/>
      <c r="B25">
        <f>IF(A25="","",TEXT(A25,"yyyy-mm"))</f>
        <v/>
      </c>
      <c r="F25">
        <f>IF(OR(D25="",E25=""),"",E25/D25)</f>
        <v/>
      </c>
    </row>
    <row r="26">
      <c r="A26" s="10" t="n"/>
      <c r="B26">
        <f>IF(A26="","",TEXT(A26,"yyyy-mm"))</f>
        <v/>
      </c>
      <c r="F26">
        <f>IF(OR(D26="",E26=""),"",E26/D26)</f>
        <v/>
      </c>
    </row>
    <row r="27">
      <c r="A27" s="10" t="n"/>
      <c r="B27">
        <f>IF(A27="","",TEXT(A27,"yyyy-mm"))</f>
        <v/>
      </c>
      <c r="F27">
        <f>IF(OR(D27="",E27=""),"",E27/D27)</f>
        <v/>
      </c>
    </row>
    <row r="28">
      <c r="A28" s="10" t="n"/>
      <c r="B28">
        <f>IF(A28="","",TEXT(A28,"yyyy-mm"))</f>
        <v/>
      </c>
      <c r="F28">
        <f>IF(OR(D28="",E28=""),"",E28/D28)</f>
        <v/>
      </c>
    </row>
    <row r="29">
      <c r="A29" s="10" t="n"/>
      <c r="B29">
        <f>IF(A29="","",TEXT(A29,"yyyy-mm"))</f>
        <v/>
      </c>
      <c r="F29">
        <f>IF(OR(D29="",E29=""),"",E29/D29)</f>
        <v/>
      </c>
    </row>
    <row r="30">
      <c r="A30" s="10" t="n"/>
      <c r="B30">
        <f>IF(A30="","",TEXT(A30,"yyyy-mm"))</f>
        <v/>
      </c>
      <c r="F30">
        <f>IF(OR(D30="",E30=""),"",E30/D30)</f>
        <v/>
      </c>
    </row>
    <row r="31">
      <c r="A31" s="10" t="n"/>
      <c r="B31">
        <f>IF(A31="","",TEXT(A31,"yyyy-mm"))</f>
        <v/>
      </c>
      <c r="F31">
        <f>IF(OR(D31="",E31=""),"",E31/D31)</f>
        <v/>
      </c>
    </row>
    <row r="32">
      <c r="A32" s="10" t="n"/>
      <c r="B32">
        <f>IF(A32="","",TEXT(A32,"yyyy-mm"))</f>
        <v/>
      </c>
      <c r="F32">
        <f>IF(OR(D32="",E32=""),"",E32/D32)</f>
        <v/>
      </c>
    </row>
    <row r="33">
      <c r="A33" s="10" t="n"/>
      <c r="B33">
        <f>IF(A33="","",TEXT(A33,"yyyy-mm"))</f>
        <v/>
      </c>
      <c r="F33">
        <f>IF(OR(D33="",E33=""),"",E33/D33)</f>
        <v/>
      </c>
    </row>
    <row r="34">
      <c r="A34" s="10" t="n"/>
      <c r="B34">
        <f>IF(A34="","",TEXT(A34,"yyyy-mm"))</f>
        <v/>
      </c>
      <c r="F34">
        <f>IF(OR(D34="",E34=""),"",E34/D34)</f>
        <v/>
      </c>
    </row>
    <row r="35">
      <c r="A35" s="10" t="n"/>
      <c r="B35">
        <f>IF(A35="","",TEXT(A35,"yyyy-mm"))</f>
        <v/>
      </c>
      <c r="F35">
        <f>IF(OR(D35="",E35=""),"",E35/D35)</f>
        <v/>
      </c>
    </row>
    <row r="36">
      <c r="A36" s="10" t="n"/>
      <c r="B36">
        <f>IF(A36="","",TEXT(A36,"yyyy-mm"))</f>
        <v/>
      </c>
      <c r="F36">
        <f>IF(OR(D36="",E36=""),"",E36/D36)</f>
        <v/>
      </c>
    </row>
    <row r="37">
      <c r="A37" s="10" t="n"/>
      <c r="B37">
        <f>IF(A37="","",TEXT(A37,"yyyy-mm"))</f>
        <v/>
      </c>
      <c r="F37">
        <f>IF(OR(D37="",E37=""),"",E37/D37)</f>
        <v/>
      </c>
    </row>
    <row r="38">
      <c r="A38" s="10" t="n"/>
      <c r="B38">
        <f>IF(A38="","",TEXT(A38,"yyyy-mm"))</f>
        <v/>
      </c>
      <c r="F38">
        <f>IF(OR(D38="",E38=""),"",E38/D38)</f>
        <v/>
      </c>
    </row>
    <row r="39">
      <c r="A39" s="10" t="n"/>
      <c r="B39">
        <f>IF(A39="","",TEXT(A39,"yyyy-mm"))</f>
        <v/>
      </c>
      <c r="F39">
        <f>IF(OR(D39="",E39=""),"",E39/D39)</f>
        <v/>
      </c>
    </row>
    <row r="40">
      <c r="A40" s="10" t="n"/>
      <c r="B40">
        <f>IF(A40="","",TEXT(A40,"yyyy-mm"))</f>
        <v/>
      </c>
      <c r="F40">
        <f>IF(OR(D40="",E40=""),"",E40/D40)</f>
        <v/>
      </c>
    </row>
    <row r="41">
      <c r="A41" s="10" t="n"/>
      <c r="B41">
        <f>IF(A41="","",TEXT(A41,"yyyy-mm"))</f>
        <v/>
      </c>
      <c r="F41">
        <f>IF(OR(D41="",E41=""),"",E41/D41)</f>
        <v/>
      </c>
    </row>
    <row r="42">
      <c r="A42" s="10" t="n"/>
      <c r="B42">
        <f>IF(A42="","",TEXT(A42,"yyyy-mm"))</f>
        <v/>
      </c>
      <c r="F42">
        <f>IF(OR(D42="",E42=""),"",E42/D42)</f>
        <v/>
      </c>
    </row>
    <row r="43">
      <c r="A43" s="10" t="n"/>
      <c r="B43">
        <f>IF(A43="","",TEXT(A43,"yyyy-mm"))</f>
        <v/>
      </c>
      <c r="F43">
        <f>IF(OR(D43="",E43=""),"",E43/D43)</f>
        <v/>
      </c>
    </row>
    <row r="44">
      <c r="A44" s="10" t="n"/>
      <c r="B44">
        <f>IF(A44="","",TEXT(A44,"yyyy-mm"))</f>
        <v/>
      </c>
      <c r="F44">
        <f>IF(OR(D44="",E44=""),"",E44/D44)</f>
        <v/>
      </c>
    </row>
    <row r="45">
      <c r="A45" s="10" t="n"/>
      <c r="B45">
        <f>IF(A45="","",TEXT(A45,"yyyy-mm"))</f>
        <v/>
      </c>
      <c r="F45">
        <f>IF(OR(D45="",E45=""),"",E45/D45)</f>
        <v/>
      </c>
    </row>
    <row r="46">
      <c r="A46" s="10" t="n"/>
      <c r="B46">
        <f>IF(A46="","",TEXT(A46,"yyyy-mm"))</f>
        <v/>
      </c>
      <c r="F46">
        <f>IF(OR(D46="",E46=""),"",E46/D46)</f>
        <v/>
      </c>
    </row>
    <row r="47">
      <c r="A47" s="10" t="n"/>
      <c r="B47">
        <f>IF(A47="","",TEXT(A47,"yyyy-mm"))</f>
        <v/>
      </c>
      <c r="F47">
        <f>IF(OR(D47="",E47=""),"",E47/D47)</f>
        <v/>
      </c>
    </row>
    <row r="48">
      <c r="A48" s="10" t="n"/>
      <c r="B48">
        <f>IF(A48="","",TEXT(A48,"yyyy-mm"))</f>
        <v/>
      </c>
      <c r="F48">
        <f>IF(OR(D48="",E48=""),"",E48/D48)</f>
        <v/>
      </c>
    </row>
    <row r="49">
      <c r="A49" s="10" t="n"/>
      <c r="B49">
        <f>IF(A49="","",TEXT(A49,"yyyy-mm"))</f>
        <v/>
      </c>
      <c r="F49">
        <f>IF(OR(D49="",E49=""),"",E49/D49)</f>
        <v/>
      </c>
    </row>
    <row r="50">
      <c r="A50" s="10" t="n"/>
      <c r="B50">
        <f>IF(A50="","",TEXT(A50,"yyyy-mm"))</f>
        <v/>
      </c>
      <c r="F50">
        <f>IF(OR(D50="",E50=""),"",E50/D50)</f>
        <v/>
      </c>
    </row>
    <row r="51">
      <c r="A51" s="10" t="n"/>
      <c r="B51">
        <f>IF(A51="","",TEXT(A51,"yyyy-mm"))</f>
        <v/>
      </c>
      <c r="F51">
        <f>IF(OR(D51="",E51=""),"",E51/D51)</f>
        <v/>
      </c>
    </row>
    <row r="52">
      <c r="A52" s="10" t="n"/>
      <c r="B52">
        <f>IF(A52="","",TEXT(A52,"yyyy-mm"))</f>
        <v/>
      </c>
      <c r="F52">
        <f>IF(OR(D52="",E52=""),"",E52/D52)</f>
        <v/>
      </c>
    </row>
    <row r="53">
      <c r="A53" s="10" t="n"/>
      <c r="B53">
        <f>IF(A53="","",TEXT(A53,"yyyy-mm"))</f>
        <v/>
      </c>
      <c r="F53">
        <f>IF(OR(D53="",E53=""),"",E53/D53)</f>
        <v/>
      </c>
    </row>
    <row r="54">
      <c r="A54" s="10" t="n"/>
      <c r="B54">
        <f>IF(A54="","",TEXT(A54,"yyyy-mm"))</f>
        <v/>
      </c>
      <c r="F54">
        <f>IF(OR(D54="",E54=""),"",E54/D54)</f>
        <v/>
      </c>
    </row>
    <row r="55">
      <c r="A55" s="10" t="n"/>
      <c r="B55">
        <f>IF(A55="","",TEXT(A55,"yyyy-mm"))</f>
        <v/>
      </c>
      <c r="F55">
        <f>IF(OR(D55="",E55=""),"",E55/D55)</f>
        <v/>
      </c>
    </row>
    <row r="56">
      <c r="A56" s="10" t="n"/>
      <c r="B56">
        <f>IF(A56="","",TEXT(A56,"yyyy-mm"))</f>
        <v/>
      </c>
      <c r="F56">
        <f>IF(OR(D56="",E56=""),"",E56/D56)</f>
        <v/>
      </c>
    </row>
    <row r="57">
      <c r="A57" s="10" t="n"/>
      <c r="B57">
        <f>IF(A57="","",TEXT(A57,"yyyy-mm"))</f>
        <v/>
      </c>
      <c r="F57">
        <f>IF(OR(D57="",E57=""),"",E57/D57)</f>
        <v/>
      </c>
    </row>
    <row r="58">
      <c r="A58" s="10" t="n"/>
      <c r="B58">
        <f>IF(A58="","",TEXT(A58,"yyyy-mm"))</f>
        <v/>
      </c>
      <c r="F58">
        <f>IF(OR(D58="",E58=""),"",E58/D58)</f>
        <v/>
      </c>
    </row>
    <row r="59">
      <c r="A59" s="10" t="n"/>
      <c r="B59">
        <f>IF(A59="","",TEXT(A59,"yyyy-mm"))</f>
        <v/>
      </c>
      <c r="F59">
        <f>IF(OR(D59="",E59=""),"",E59/D59)</f>
        <v/>
      </c>
    </row>
    <row r="60">
      <c r="A60" s="10" t="n"/>
      <c r="B60">
        <f>IF(A60="","",TEXT(A60,"yyyy-mm"))</f>
        <v/>
      </c>
      <c r="F60">
        <f>IF(OR(D60="",E60=""),"",E60/D60)</f>
        <v/>
      </c>
    </row>
    <row r="61">
      <c r="A61" s="10" t="n"/>
      <c r="B61">
        <f>IF(A61="","",TEXT(A61,"yyyy-mm"))</f>
        <v/>
      </c>
      <c r="F61">
        <f>IF(OR(D61="",E61=""),"",E61/D61)</f>
        <v/>
      </c>
    </row>
    <row r="62">
      <c r="A62" s="10" t="n"/>
      <c r="B62">
        <f>IF(A62="","",TEXT(A62,"yyyy-mm"))</f>
        <v/>
      </c>
      <c r="F62">
        <f>IF(OR(D62="",E62=""),"",E62/D62)</f>
        <v/>
      </c>
    </row>
    <row r="63">
      <c r="A63" s="10" t="n"/>
      <c r="B63">
        <f>IF(A63="","",TEXT(A63,"yyyy-mm"))</f>
        <v/>
      </c>
      <c r="F63">
        <f>IF(OR(D63="",E63=""),"",E63/D63)</f>
        <v/>
      </c>
    </row>
    <row r="64">
      <c r="A64" s="10" t="n"/>
      <c r="B64">
        <f>IF(A64="","",TEXT(A64,"yyyy-mm"))</f>
        <v/>
      </c>
      <c r="F64">
        <f>IF(OR(D64="",E64=""),"",E64/D64)</f>
        <v/>
      </c>
    </row>
    <row r="65">
      <c r="A65" s="10" t="n"/>
      <c r="B65">
        <f>IF(A65="","",TEXT(A65,"yyyy-mm"))</f>
        <v/>
      </c>
      <c r="F65">
        <f>IF(OR(D65="",E65=""),"",E65/D65)</f>
        <v/>
      </c>
    </row>
    <row r="66">
      <c r="A66" s="10" t="n"/>
      <c r="B66">
        <f>IF(A66="","",TEXT(A66,"yyyy-mm"))</f>
        <v/>
      </c>
      <c r="F66">
        <f>IF(OR(D66="",E66=""),"",E66/D66)</f>
        <v/>
      </c>
    </row>
    <row r="67">
      <c r="A67" s="10" t="n"/>
      <c r="B67">
        <f>IF(A67="","",TEXT(A67,"yyyy-mm"))</f>
        <v/>
      </c>
      <c r="F67">
        <f>IF(OR(D67="",E67=""),"",E67/D67)</f>
        <v/>
      </c>
    </row>
    <row r="68">
      <c r="A68" s="10" t="n"/>
      <c r="B68">
        <f>IF(A68="","",TEXT(A68,"yyyy-mm"))</f>
        <v/>
      </c>
      <c r="F68">
        <f>IF(OR(D68="",E68=""),"",E68/D68)</f>
        <v/>
      </c>
    </row>
    <row r="69">
      <c r="A69" s="10" t="n"/>
      <c r="B69">
        <f>IF(A69="","",TEXT(A69,"yyyy-mm"))</f>
        <v/>
      </c>
      <c r="F69">
        <f>IF(OR(D69="",E69=""),"",E69/D69)</f>
        <v/>
      </c>
    </row>
    <row r="70">
      <c r="A70" s="10" t="n"/>
      <c r="B70">
        <f>IF(A70="","",TEXT(A70,"yyyy-mm"))</f>
        <v/>
      </c>
      <c r="F70">
        <f>IF(OR(D70="",E70=""),"",E70/D70)</f>
        <v/>
      </c>
    </row>
    <row r="71">
      <c r="A71" s="10" t="n"/>
      <c r="B71">
        <f>IF(A71="","",TEXT(A71,"yyyy-mm"))</f>
        <v/>
      </c>
      <c r="F71">
        <f>IF(OR(D71="",E71=""),"",E71/D71)</f>
        <v/>
      </c>
    </row>
    <row r="72">
      <c r="A72" s="10" t="n"/>
      <c r="B72">
        <f>IF(A72="","",TEXT(A72,"yyyy-mm"))</f>
        <v/>
      </c>
      <c r="F72">
        <f>IF(OR(D72="",E72=""),"",E72/D72)</f>
        <v/>
      </c>
    </row>
    <row r="73">
      <c r="A73" s="10" t="n"/>
      <c r="B73">
        <f>IF(A73="","",TEXT(A73,"yyyy-mm"))</f>
        <v/>
      </c>
      <c r="F73">
        <f>IF(OR(D73="",E73=""),"",E73/D73)</f>
        <v/>
      </c>
    </row>
    <row r="74">
      <c r="A74" s="10" t="n"/>
      <c r="B74">
        <f>IF(A74="","",TEXT(A74,"yyyy-mm"))</f>
        <v/>
      </c>
      <c r="F74">
        <f>IF(OR(D74="",E74=""),"",E74/D74)</f>
        <v/>
      </c>
    </row>
    <row r="75">
      <c r="A75" s="10" t="n"/>
      <c r="B75">
        <f>IF(A75="","",TEXT(A75,"yyyy-mm"))</f>
        <v/>
      </c>
      <c r="F75">
        <f>IF(OR(D75="",E75=""),"",E75/D75)</f>
        <v/>
      </c>
    </row>
    <row r="76">
      <c r="A76" s="10" t="n"/>
      <c r="B76">
        <f>IF(A76="","",TEXT(A76,"yyyy-mm"))</f>
        <v/>
      </c>
      <c r="F76">
        <f>IF(OR(D76="",E76=""),"",E76/D76)</f>
        <v/>
      </c>
    </row>
    <row r="77">
      <c r="A77" s="10" t="n"/>
      <c r="B77">
        <f>IF(A77="","",TEXT(A77,"yyyy-mm"))</f>
        <v/>
      </c>
      <c r="F77">
        <f>IF(OR(D77="",E77=""),"",E77/D77)</f>
        <v/>
      </c>
    </row>
    <row r="78">
      <c r="A78" s="10" t="n"/>
      <c r="B78">
        <f>IF(A78="","",TEXT(A78,"yyyy-mm"))</f>
        <v/>
      </c>
      <c r="F78">
        <f>IF(OR(D78="",E78=""),"",E78/D78)</f>
        <v/>
      </c>
    </row>
    <row r="79">
      <c r="A79" s="10" t="n"/>
      <c r="B79">
        <f>IF(A79="","",TEXT(A79,"yyyy-mm"))</f>
        <v/>
      </c>
      <c r="F79">
        <f>IF(OR(D79="",E79=""),"",E79/D79)</f>
        <v/>
      </c>
    </row>
    <row r="80">
      <c r="A80" s="10" t="n"/>
      <c r="B80">
        <f>IF(A80="","",TEXT(A80,"yyyy-mm"))</f>
        <v/>
      </c>
      <c r="F80">
        <f>IF(OR(D80="",E80=""),"",E80/D80)</f>
        <v/>
      </c>
    </row>
    <row r="81">
      <c r="A81" s="10" t="n"/>
      <c r="B81">
        <f>IF(A81="","",TEXT(A81,"yyyy-mm"))</f>
        <v/>
      </c>
      <c r="F81">
        <f>IF(OR(D81="",E81=""),"",E81/D81)</f>
        <v/>
      </c>
    </row>
    <row r="82">
      <c r="A82" s="10" t="n"/>
      <c r="B82">
        <f>IF(A82="","",TEXT(A82,"yyyy-mm"))</f>
        <v/>
      </c>
      <c r="F82">
        <f>IF(OR(D82="",E82=""),"",E82/D82)</f>
        <v/>
      </c>
    </row>
    <row r="83">
      <c r="A83" s="10" t="n"/>
      <c r="B83">
        <f>IF(A83="","",TEXT(A83,"yyyy-mm"))</f>
        <v/>
      </c>
      <c r="F83">
        <f>IF(OR(D83="",E83=""),"",E83/D83)</f>
        <v/>
      </c>
    </row>
    <row r="84">
      <c r="A84" s="10" t="n"/>
      <c r="B84">
        <f>IF(A84="","",TEXT(A84,"yyyy-mm"))</f>
        <v/>
      </c>
      <c r="F84">
        <f>IF(OR(D84="",E84=""),"",E84/D84)</f>
        <v/>
      </c>
    </row>
    <row r="85">
      <c r="A85" s="10" t="n"/>
      <c r="B85">
        <f>IF(A85="","",TEXT(A85,"yyyy-mm"))</f>
        <v/>
      </c>
      <c r="F85">
        <f>IF(OR(D85="",E85=""),"",E85/D85)</f>
        <v/>
      </c>
    </row>
    <row r="86">
      <c r="A86" s="10" t="n"/>
      <c r="B86">
        <f>IF(A86="","",TEXT(A86,"yyyy-mm"))</f>
        <v/>
      </c>
      <c r="F86">
        <f>IF(OR(D86="",E86=""),"",E86/D86)</f>
        <v/>
      </c>
    </row>
    <row r="87">
      <c r="A87" s="10" t="n"/>
      <c r="B87">
        <f>IF(A87="","",TEXT(A87,"yyyy-mm"))</f>
        <v/>
      </c>
      <c r="F87">
        <f>IF(OR(D87="",E87=""),"",E87/D87)</f>
        <v/>
      </c>
    </row>
    <row r="88">
      <c r="A88" s="10" t="n"/>
      <c r="B88">
        <f>IF(A88="","",TEXT(A88,"yyyy-mm"))</f>
        <v/>
      </c>
      <c r="F88">
        <f>IF(OR(D88="",E88=""),"",E88/D88)</f>
        <v/>
      </c>
    </row>
    <row r="89">
      <c r="A89" s="10" t="n"/>
      <c r="B89">
        <f>IF(A89="","",TEXT(A89,"yyyy-mm"))</f>
        <v/>
      </c>
      <c r="F89">
        <f>IF(OR(D89="",E89=""),"",E89/D89)</f>
        <v/>
      </c>
    </row>
    <row r="90">
      <c r="A90" s="10" t="n"/>
      <c r="B90">
        <f>IF(A90="","",TEXT(A90,"yyyy-mm"))</f>
        <v/>
      </c>
      <c r="F90">
        <f>IF(OR(D90="",E90=""),"",E90/D90)</f>
        <v/>
      </c>
    </row>
    <row r="91">
      <c r="A91" s="10" t="n"/>
      <c r="B91">
        <f>IF(A91="","",TEXT(A91,"yyyy-mm"))</f>
        <v/>
      </c>
      <c r="F91">
        <f>IF(OR(D91="",E91=""),"",E91/D91)</f>
        <v/>
      </c>
    </row>
    <row r="92">
      <c r="A92" s="10" t="n"/>
      <c r="B92">
        <f>IF(A92="","",TEXT(A92,"yyyy-mm"))</f>
        <v/>
      </c>
      <c r="F92">
        <f>IF(OR(D92="",E92=""),"",E92/D92)</f>
        <v/>
      </c>
    </row>
    <row r="93">
      <c r="A93" s="10" t="n"/>
      <c r="B93">
        <f>IF(A93="","",TEXT(A93,"yyyy-mm"))</f>
        <v/>
      </c>
      <c r="F93">
        <f>IF(OR(D93="",E93=""),"",E93/D93)</f>
        <v/>
      </c>
    </row>
    <row r="94">
      <c r="A94" s="10" t="n"/>
      <c r="B94">
        <f>IF(A94="","",TEXT(A94,"yyyy-mm"))</f>
        <v/>
      </c>
      <c r="F94">
        <f>IF(OR(D94="",E94=""),"",E94/D94)</f>
        <v/>
      </c>
    </row>
    <row r="95">
      <c r="A95" s="10" t="n"/>
      <c r="B95">
        <f>IF(A95="","",TEXT(A95,"yyyy-mm"))</f>
        <v/>
      </c>
      <c r="F95">
        <f>IF(OR(D95="",E95=""),"",E95/D95)</f>
        <v/>
      </c>
    </row>
    <row r="96">
      <c r="A96" s="10" t="n"/>
      <c r="B96">
        <f>IF(A96="","",TEXT(A96,"yyyy-mm"))</f>
        <v/>
      </c>
      <c r="F96">
        <f>IF(OR(D96="",E96=""),"",E96/D96)</f>
        <v/>
      </c>
    </row>
    <row r="97">
      <c r="A97" s="10" t="n"/>
      <c r="B97">
        <f>IF(A97="","",TEXT(A97,"yyyy-mm"))</f>
        <v/>
      </c>
      <c r="F97">
        <f>IF(OR(D97="",E97=""),"",E97/D97)</f>
        <v/>
      </c>
    </row>
    <row r="98">
      <c r="A98" s="10" t="n"/>
      <c r="B98">
        <f>IF(A98="","",TEXT(A98,"yyyy-mm"))</f>
        <v/>
      </c>
      <c r="F98">
        <f>IF(OR(D98="",E98=""),"",E98/D98)</f>
        <v/>
      </c>
    </row>
    <row r="99">
      <c r="A99" s="10" t="n"/>
      <c r="B99">
        <f>IF(A99="","",TEXT(A99,"yyyy-mm"))</f>
        <v/>
      </c>
      <c r="F99">
        <f>IF(OR(D99="",E99=""),"",E99/D99)</f>
        <v/>
      </c>
    </row>
    <row r="100">
      <c r="A100" s="10" t="n"/>
      <c r="B100">
        <f>IF(A100="","",TEXT(A100,"yyyy-mm"))</f>
        <v/>
      </c>
      <c r="F100">
        <f>IF(OR(D100="",E100=""),"",E100/D100)</f>
        <v/>
      </c>
    </row>
    <row r="101">
      <c r="A101" s="10" t="n"/>
      <c r="B101">
        <f>IF(A101="","",TEXT(A101,"yyyy-mm"))</f>
        <v/>
      </c>
      <c r="F101">
        <f>IF(OR(D101="",E101=""),"",E101/D101)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1" customWidth="1" min="4" max="4"/>
    <col width="20" customWidth="1" min="5" max="5"/>
    <col width="13" customWidth="1" min="6" max="6"/>
    <col width="22" customWidth="1" min="7" max="7"/>
    <col width="28" customWidth="1" min="8" max="8"/>
  </cols>
  <sheetData>
    <row r="1">
      <c r="A1" s="2" t="inlineStr">
        <is>
          <t>Lo que cambió, en pesos. Semana base = antes de la lista y el horario de WhatsApp.</t>
        </is>
      </c>
    </row>
    <row r="2">
      <c r="A2" s="9" t="inlineStr">
        <is>
          <t>Semana</t>
        </is>
      </c>
      <c r="B2" s="9" t="inlineStr">
        <is>
          <t>Horneados</t>
        </is>
      </c>
      <c r="C2" s="9" t="inlineStr">
        <is>
          <t>Vendidos</t>
        </is>
      </c>
      <c r="D2" s="9" t="inlineStr">
        <is>
          <t>% sobrante</t>
        </is>
      </c>
      <c r="E2" s="9" t="inlineStr">
        <is>
          <t>Apuntados en la lista</t>
        </is>
      </c>
      <c r="F2" s="9" t="inlineStr">
        <is>
          <t>Ganancia ($)</t>
        </is>
      </c>
      <c r="G2" s="9" t="inlineStr">
        <is>
          <t>Pérdida por sobrante ($)</t>
        </is>
      </c>
      <c r="H2" s="9" t="inlineStr">
        <is>
          <t>Ganancia extra por la lista ($)</t>
        </is>
      </c>
    </row>
    <row r="3">
      <c r="A3" t="n">
        <v>44</v>
      </c>
      <c r="B3">
        <f>SUMIFS('Registro diario'!E$3:E$202,'Registro diario'!B$3:B$202,A3)</f>
        <v/>
      </c>
      <c r="C3">
        <f>SUMIFS('Registro diario'!F$3:F$202,'Registro diario'!B$3:B$202,A3)</f>
        <v/>
      </c>
      <c r="D3" s="11">
        <f>IF(B3=0,"",(B3-C3)/B3)</f>
        <v/>
      </c>
      <c r="E3">
        <f>SUMIFS('Registro diario'!I$3:I$202,'Registro diario'!B$3:B$202,A3)</f>
        <v/>
      </c>
      <c r="F3">
        <f>SUMIFS('Registro diario'!J$3:J$202,'Registro diario'!B$3:B$202,A3)</f>
        <v/>
      </c>
      <c r="G3">
        <f>SUMIFS('Registro diario'!K$3:K$202,'Registro diario'!B$3:B$202,A3)</f>
        <v/>
      </c>
      <c r="H3">
        <f>E3*Modelo!$B$10</f>
        <v/>
      </c>
    </row>
    <row r="4">
      <c r="A4" t="n">
        <v>45</v>
      </c>
      <c r="B4">
        <f>SUMIFS('Registro diario'!E$3:E$202,'Registro diario'!B$3:B$202,A4)</f>
        <v/>
      </c>
      <c r="C4">
        <f>SUMIFS('Registro diario'!F$3:F$202,'Registro diario'!B$3:B$202,A4)</f>
        <v/>
      </c>
      <c r="D4" s="11">
        <f>IF(B4=0,"",(B4-C4)/B4)</f>
        <v/>
      </c>
      <c r="E4">
        <f>SUMIFS('Registro diario'!I$3:I$202,'Registro diario'!B$3:B$202,A4)</f>
        <v/>
      </c>
      <c r="F4">
        <f>SUMIFS('Registro diario'!J$3:J$202,'Registro diario'!B$3:B$202,A4)</f>
        <v/>
      </c>
      <c r="G4">
        <f>SUMIFS('Registro diario'!K$3:K$202,'Registro diario'!B$3:B$202,A4)</f>
        <v/>
      </c>
      <c r="H4">
        <f>E4*Modelo!$B$10</f>
        <v/>
      </c>
    </row>
    <row r="5">
      <c r="A5" t="n">
        <v>46</v>
      </c>
      <c r="B5">
        <f>SUMIFS('Registro diario'!E$3:E$202,'Registro diario'!B$3:B$202,A5)</f>
        <v/>
      </c>
      <c r="C5">
        <f>SUMIFS('Registro diario'!F$3:F$202,'Registro diario'!B$3:B$202,A5)</f>
        <v/>
      </c>
      <c r="D5" s="11">
        <f>IF(B5=0,"",(B5-C5)/B5)</f>
        <v/>
      </c>
      <c r="E5">
        <f>SUMIFS('Registro diario'!I$3:I$202,'Registro diario'!B$3:B$202,A5)</f>
        <v/>
      </c>
      <c r="F5">
        <f>SUMIFS('Registro diario'!J$3:J$202,'Registro diario'!B$3:B$202,A5)</f>
        <v/>
      </c>
      <c r="G5">
        <f>SUMIFS('Registro diario'!K$3:K$202,'Registro diario'!B$3:B$202,A5)</f>
        <v/>
      </c>
      <c r="H5">
        <f>E5*Modelo!$B$10</f>
        <v/>
      </c>
    </row>
    <row r="6">
      <c r="A6" t="n">
        <v>47</v>
      </c>
      <c r="B6">
        <f>SUMIFS('Registro diario'!E$3:E$202,'Registro diario'!B$3:B$202,A6)</f>
        <v/>
      </c>
      <c r="C6">
        <f>SUMIFS('Registro diario'!F$3:F$202,'Registro diario'!B$3:B$202,A6)</f>
        <v/>
      </c>
      <c r="D6" s="11">
        <f>IF(B6=0,"",(B6-C6)/B6)</f>
        <v/>
      </c>
      <c r="E6">
        <f>SUMIFS('Registro diario'!I$3:I$202,'Registro diario'!B$3:B$202,A6)</f>
        <v/>
      </c>
      <c r="F6">
        <f>SUMIFS('Registro diario'!J$3:J$202,'Registro diario'!B$3:B$202,A6)</f>
        <v/>
      </c>
      <c r="G6">
        <f>SUMIFS('Registro diario'!K$3:K$202,'Registro diario'!B$3:B$202,A6)</f>
        <v/>
      </c>
      <c r="H6">
        <f>E6*Modelo!$B$10</f>
        <v/>
      </c>
    </row>
    <row r="7">
      <c r="A7" t="n">
        <v>48</v>
      </c>
      <c r="B7">
        <f>SUMIFS('Registro diario'!E$3:E$202,'Registro diario'!B$3:B$202,A7)</f>
        <v/>
      </c>
      <c r="C7">
        <f>SUMIFS('Registro diario'!F$3:F$202,'Registro diario'!B$3:B$202,A7)</f>
        <v/>
      </c>
      <c r="D7" s="11">
        <f>IF(B7=0,"",(B7-C7)/B7)</f>
        <v/>
      </c>
      <c r="E7">
        <f>SUMIFS('Registro diario'!I$3:I$202,'Registro diario'!B$3:B$202,A7)</f>
        <v/>
      </c>
      <c r="F7">
        <f>SUMIFS('Registro diario'!J$3:J$202,'Registro diario'!B$3:B$202,A7)</f>
        <v/>
      </c>
      <c r="G7">
        <f>SUMIFS('Registro diario'!K$3:K$202,'Registro diario'!B$3:B$202,A7)</f>
        <v/>
      </c>
      <c r="H7">
        <f>E7*Modelo!$B$10</f>
        <v/>
      </c>
    </row>
    <row r="8">
      <c r="A8" t="n">
        <v>49</v>
      </c>
      <c r="B8">
        <f>SUMIFS('Registro diario'!E$3:E$202,'Registro diario'!B$3:B$202,A8)</f>
        <v/>
      </c>
      <c r="C8">
        <f>SUMIFS('Registro diario'!F$3:F$202,'Registro diario'!B$3:B$202,A8)</f>
        <v/>
      </c>
      <c r="D8" s="11">
        <f>IF(B8=0,"",(B8-C8)/B8)</f>
        <v/>
      </c>
      <c r="E8">
        <f>SUMIFS('Registro diario'!I$3:I$202,'Registro diario'!B$3:B$202,A8)</f>
        <v/>
      </c>
      <c r="F8">
        <f>SUMIFS('Registro diario'!J$3:J$202,'Registro diario'!B$3:B$202,A8)</f>
        <v/>
      </c>
      <c r="G8">
        <f>SUMIFS('Registro diario'!K$3:K$202,'Registro diario'!B$3:B$202,A8)</f>
        <v/>
      </c>
      <c r="H8">
        <f>E8*Modelo!$B$10</f>
        <v/>
      </c>
    </row>
    <row r="9">
      <c r="A9" t="n">
        <v>50</v>
      </c>
      <c r="B9">
        <f>SUMIFS('Registro diario'!E$3:E$202,'Registro diario'!B$3:B$202,A9)</f>
        <v/>
      </c>
      <c r="C9">
        <f>SUMIFS('Registro diario'!F$3:F$202,'Registro diario'!B$3:B$202,A9)</f>
        <v/>
      </c>
      <c r="D9" s="11">
        <f>IF(B9=0,"",(B9-C9)/B9)</f>
        <v/>
      </c>
      <c r="E9">
        <f>SUMIFS('Registro diario'!I$3:I$202,'Registro diario'!B$3:B$202,A9)</f>
        <v/>
      </c>
      <c r="F9">
        <f>SUMIFS('Registro diario'!J$3:J$202,'Registro diario'!B$3:B$202,A9)</f>
        <v/>
      </c>
      <c r="G9">
        <f>SUMIFS('Registro diario'!K$3:K$202,'Registro diario'!B$3:B$202,A9)</f>
        <v/>
      </c>
      <c r="H9">
        <f>E9*Modelo!$B$10</f>
        <v/>
      </c>
    </row>
    <row r="10">
      <c r="A10" t="n">
        <v>51</v>
      </c>
      <c r="B10">
        <f>SUMIFS('Registro diario'!E$3:E$202,'Registro diario'!B$3:B$202,A10)</f>
        <v/>
      </c>
      <c r="C10">
        <f>SUMIFS('Registro diario'!F$3:F$202,'Registro diario'!B$3:B$202,A10)</f>
        <v/>
      </c>
      <c r="D10" s="11">
        <f>IF(B10=0,"",(B10-C10)/B10)</f>
        <v/>
      </c>
      <c r="E10">
        <f>SUMIFS('Registro diario'!I$3:I$202,'Registro diario'!B$3:B$202,A10)</f>
        <v/>
      </c>
      <c r="F10">
        <f>SUMIFS('Registro diario'!J$3:J$202,'Registro diario'!B$3:B$202,A10)</f>
        <v/>
      </c>
      <c r="G10">
        <f>SUMIFS('Registro diario'!K$3:K$202,'Registro diario'!B$3:B$202,A10)</f>
        <v/>
      </c>
      <c r="H10">
        <f>E10*Modelo!$B$10</f>
        <v/>
      </c>
    </row>
    <row r="11">
      <c r="A11" t="n">
        <v>52</v>
      </c>
      <c r="B11">
        <f>SUMIFS('Registro diario'!E$3:E$202,'Registro diario'!B$3:B$202,A11)</f>
        <v/>
      </c>
      <c r="C11">
        <f>SUMIFS('Registro diario'!F$3:F$202,'Registro diario'!B$3:B$202,A11)</f>
        <v/>
      </c>
      <c r="D11" s="11">
        <f>IF(B11=0,"",(B11-C11)/B11)</f>
        <v/>
      </c>
      <c r="E11">
        <f>SUMIFS('Registro diario'!I$3:I$202,'Registro diario'!B$3:B$202,A11)</f>
        <v/>
      </c>
      <c r="F11">
        <f>SUMIFS('Registro diario'!J$3:J$202,'Registro diario'!B$3:B$202,A11)</f>
        <v/>
      </c>
      <c r="G11">
        <f>SUMIFS('Registro diario'!K$3:K$202,'Registro diario'!B$3:B$202,A11)</f>
        <v/>
      </c>
      <c r="H11">
        <f>E11*Modelo!$B$10</f>
        <v/>
      </c>
    </row>
    <row r="12">
      <c r="A12" t="n">
        <v>1</v>
      </c>
      <c r="B12">
        <f>SUMIFS('Registro diario'!E$3:E$202,'Registro diario'!B$3:B$202,A12)</f>
        <v/>
      </c>
      <c r="C12">
        <f>SUMIFS('Registro diario'!F$3:F$202,'Registro diario'!B$3:B$202,A12)</f>
        <v/>
      </c>
      <c r="D12" s="11">
        <f>IF(B12=0,"",(B12-C12)/B12)</f>
        <v/>
      </c>
      <c r="E12">
        <f>SUMIFS('Registro diario'!I$3:I$202,'Registro diario'!B$3:B$202,A12)</f>
        <v/>
      </c>
      <c r="F12">
        <f>SUMIFS('Registro diario'!J$3:J$202,'Registro diario'!B$3:B$202,A12)</f>
        <v/>
      </c>
      <c r="G12">
        <f>SUMIFS('Registro diario'!K$3:K$202,'Registro diario'!B$3:B$202,A12)</f>
        <v/>
      </c>
      <c r="H12">
        <f>E12*Modelo!$B$10</f>
        <v/>
      </c>
    </row>
    <row r="13">
      <c r="A13" t="n">
        <v>2</v>
      </c>
      <c r="B13">
        <f>SUMIFS('Registro diario'!E$3:E$202,'Registro diario'!B$3:B$202,A13)</f>
        <v/>
      </c>
      <c r="C13">
        <f>SUMIFS('Registro diario'!F$3:F$202,'Registro diario'!B$3:B$202,A13)</f>
        <v/>
      </c>
      <c r="D13" s="11">
        <f>IF(B13=0,"",(B13-C13)/B13)</f>
        <v/>
      </c>
      <c r="E13">
        <f>SUMIFS('Registro diario'!I$3:I$202,'Registro diario'!B$3:B$202,A13)</f>
        <v/>
      </c>
      <c r="F13">
        <f>SUMIFS('Registro diario'!J$3:J$202,'Registro diario'!B$3:B$202,A13)</f>
        <v/>
      </c>
      <c r="G13">
        <f>SUMIFS('Registro diario'!K$3:K$202,'Registro diario'!B$3:B$202,A13)</f>
        <v/>
      </c>
      <c r="H13">
        <f>E13*Modelo!$B$10</f>
        <v/>
      </c>
    </row>
    <row r="14">
      <c r="A14" t="n">
        <v>3</v>
      </c>
      <c r="B14">
        <f>SUMIFS('Registro diario'!E$3:E$202,'Registro diario'!B$3:B$202,A14)</f>
        <v/>
      </c>
      <c r="C14">
        <f>SUMIFS('Registro diario'!F$3:F$202,'Registro diario'!B$3:B$202,A14)</f>
        <v/>
      </c>
      <c r="D14" s="11">
        <f>IF(B14=0,"",(B14-C14)/B14)</f>
        <v/>
      </c>
      <c r="E14">
        <f>SUMIFS('Registro diario'!I$3:I$202,'Registro diario'!B$3:B$202,A14)</f>
        <v/>
      </c>
      <c r="F14">
        <f>SUMIFS('Registro diario'!J$3:J$202,'Registro diario'!B$3:B$202,A14)</f>
        <v/>
      </c>
      <c r="G14">
        <f>SUMIFS('Registro diario'!K$3:K$202,'Registro diario'!B$3:B$202,A14)</f>
        <v/>
      </c>
      <c r="H14">
        <f>E14*Modelo!$B$10</f>
        <v/>
      </c>
    </row>
    <row r="15">
      <c r="A15" t="n">
        <v>4</v>
      </c>
      <c r="B15">
        <f>SUMIFS('Registro diario'!E$3:E$202,'Registro diario'!B$3:B$202,A15)</f>
        <v/>
      </c>
      <c r="C15">
        <f>SUMIFS('Registro diario'!F$3:F$202,'Registro diario'!B$3:B$202,A15)</f>
        <v/>
      </c>
      <c r="D15" s="11">
        <f>IF(B15=0,"",(B15-C15)/B15)</f>
        <v/>
      </c>
      <c r="E15">
        <f>SUMIFS('Registro diario'!I$3:I$202,'Registro diario'!B$3:B$202,A15)</f>
        <v/>
      </c>
      <c r="F15">
        <f>SUMIFS('Registro diario'!J$3:J$202,'Registro diario'!B$3:B$202,A15)</f>
        <v/>
      </c>
      <c r="G15">
        <f>SUMIFS('Registro diario'!K$3:K$202,'Registro diario'!B$3:B$202,A15)</f>
        <v/>
      </c>
      <c r="H15">
        <f>E15*Modelo!$B$10</f>
        <v/>
      </c>
    </row>
    <row r="16">
      <c r="A16" t="n">
        <v>5</v>
      </c>
      <c r="B16">
        <f>SUMIFS('Registro diario'!E$3:E$202,'Registro diario'!B$3:B$202,A16)</f>
        <v/>
      </c>
      <c r="C16">
        <f>SUMIFS('Registro diario'!F$3:F$202,'Registro diario'!B$3:B$202,A16)</f>
        <v/>
      </c>
      <c r="D16" s="11">
        <f>IF(B16=0,"",(B16-C16)/B16)</f>
        <v/>
      </c>
      <c r="E16">
        <f>SUMIFS('Registro diario'!I$3:I$202,'Registro diario'!B$3:B$202,A16)</f>
        <v/>
      </c>
      <c r="F16">
        <f>SUMIFS('Registro diario'!J$3:J$202,'Registro diario'!B$3:B$202,A16)</f>
        <v/>
      </c>
      <c r="G16">
        <f>SUMIFS('Registro diario'!K$3:K$202,'Registro diario'!B$3:B$202,A16)</f>
        <v/>
      </c>
      <c r="H16">
        <f>E16*Modelo!$B$10</f>
        <v/>
      </c>
    </row>
    <row r="17">
      <c r="A17" t="n">
        <v>6</v>
      </c>
      <c r="B17">
        <f>SUMIFS('Registro diario'!E$3:E$202,'Registro diario'!B$3:B$202,A17)</f>
        <v/>
      </c>
      <c r="C17">
        <f>SUMIFS('Registro diario'!F$3:F$202,'Registro diario'!B$3:B$202,A17)</f>
        <v/>
      </c>
      <c r="D17" s="11">
        <f>IF(B17=0,"",(B17-C17)/B17)</f>
        <v/>
      </c>
      <c r="E17">
        <f>SUMIFS('Registro diario'!I$3:I$202,'Registro diario'!B$3:B$202,A17)</f>
        <v/>
      </c>
      <c r="F17">
        <f>SUMIFS('Registro diario'!J$3:J$202,'Registro diario'!B$3:B$202,A17)</f>
        <v/>
      </c>
      <c r="G17">
        <f>SUMIFS('Registro diario'!K$3:K$202,'Registro diario'!B$3:B$202,A17)</f>
        <v/>
      </c>
      <c r="H17">
        <f>E17*Modelo!$B$10</f>
        <v/>
      </c>
    </row>
    <row r="18">
      <c r="A18" t="n">
        <v>7</v>
      </c>
      <c r="B18">
        <f>SUMIFS('Registro diario'!E$3:E$202,'Registro diario'!B$3:B$202,A18)</f>
        <v/>
      </c>
      <c r="C18">
        <f>SUMIFS('Registro diario'!F$3:F$202,'Registro diario'!B$3:B$202,A18)</f>
        <v/>
      </c>
      <c r="D18" s="11">
        <f>IF(B18=0,"",(B18-C18)/B18)</f>
        <v/>
      </c>
      <c r="E18">
        <f>SUMIFS('Registro diario'!I$3:I$202,'Registro diario'!B$3:B$202,A18)</f>
        <v/>
      </c>
      <c r="F18">
        <f>SUMIFS('Registro diario'!J$3:J$202,'Registro diario'!B$3:B$202,A18)</f>
        <v/>
      </c>
      <c r="G18">
        <f>SUMIFS('Registro diario'!K$3:K$202,'Registro diario'!B$3:B$202,A18)</f>
        <v/>
      </c>
      <c r="H18">
        <f>E18*Modelo!$B$10</f>
        <v/>
      </c>
    </row>
    <row r="19">
      <c r="A19" t="n">
        <v>8</v>
      </c>
      <c r="B19">
        <f>SUMIFS('Registro diario'!E$3:E$202,'Registro diario'!B$3:B$202,A19)</f>
        <v/>
      </c>
      <c r="C19">
        <f>SUMIFS('Registro diario'!F$3:F$202,'Registro diario'!B$3:B$202,A19)</f>
        <v/>
      </c>
      <c r="D19" s="11">
        <f>IF(B19=0,"",(B19-C19)/B19)</f>
        <v/>
      </c>
      <c r="E19">
        <f>SUMIFS('Registro diario'!I$3:I$202,'Registro diario'!B$3:B$202,A19)</f>
        <v/>
      </c>
      <c r="F19">
        <f>SUMIFS('Registro diario'!J$3:J$202,'Registro diario'!B$3:B$202,A19)</f>
        <v/>
      </c>
      <c r="G19">
        <f>SUMIFS('Registro diario'!K$3:K$202,'Registro diario'!B$3:B$202,A19)</f>
        <v/>
      </c>
      <c r="H19">
        <f>E19*Modelo!$B$10</f>
        <v/>
      </c>
    </row>
    <row r="20">
      <c r="A20" t="n">
        <v>9</v>
      </c>
      <c r="B20">
        <f>SUMIFS('Registro diario'!E$3:E$202,'Registro diario'!B$3:B$202,A20)</f>
        <v/>
      </c>
      <c r="C20">
        <f>SUMIFS('Registro diario'!F$3:F$202,'Registro diario'!B$3:B$202,A20)</f>
        <v/>
      </c>
      <c r="D20" s="11">
        <f>IF(B20=0,"",(B20-C20)/B20)</f>
        <v/>
      </c>
      <c r="E20">
        <f>SUMIFS('Registro diario'!I$3:I$202,'Registro diario'!B$3:B$202,A20)</f>
        <v/>
      </c>
      <c r="F20">
        <f>SUMIFS('Registro diario'!J$3:J$202,'Registro diario'!B$3:B$202,A20)</f>
        <v/>
      </c>
      <c r="G20">
        <f>SUMIFS('Registro diario'!K$3:K$202,'Registro diario'!B$3:B$202,A20)</f>
        <v/>
      </c>
      <c r="H20">
        <f>E20*Modelo!$B$10</f>
        <v/>
      </c>
    </row>
    <row r="21">
      <c r="A21" t="n">
        <v>10</v>
      </c>
      <c r="B21">
        <f>SUMIFS('Registro diario'!E$3:E$202,'Registro diario'!B$3:B$202,A21)</f>
        <v/>
      </c>
      <c r="C21">
        <f>SUMIFS('Registro diario'!F$3:F$202,'Registro diario'!B$3:B$202,A21)</f>
        <v/>
      </c>
      <c r="D21" s="11">
        <f>IF(B21=0,"",(B21-C21)/B21)</f>
        <v/>
      </c>
      <c r="E21">
        <f>SUMIFS('Registro diario'!I$3:I$202,'Registro diario'!B$3:B$202,A21)</f>
        <v/>
      </c>
      <c r="F21">
        <f>SUMIFS('Registro diario'!J$3:J$202,'Registro diario'!B$3:B$202,A21)</f>
        <v/>
      </c>
      <c r="G21">
        <f>SUMIFS('Registro diario'!K$3:K$202,'Registro diario'!B$3:B$202,A21)</f>
        <v/>
      </c>
      <c r="H21">
        <f>E21*Modelo!$B$10</f>
        <v/>
      </c>
    </row>
    <row r="22">
      <c r="A22" t="n">
        <v>11</v>
      </c>
      <c r="B22">
        <f>SUMIFS('Registro diario'!E$3:E$202,'Registro diario'!B$3:B$202,A22)</f>
        <v/>
      </c>
      <c r="C22">
        <f>SUMIFS('Registro diario'!F$3:F$202,'Registro diario'!B$3:B$202,A22)</f>
        <v/>
      </c>
      <c r="D22" s="11">
        <f>IF(B22=0,"",(B22-C22)/B22)</f>
        <v/>
      </c>
      <c r="E22">
        <f>SUMIFS('Registro diario'!I$3:I$202,'Registro diario'!B$3:B$202,A22)</f>
        <v/>
      </c>
      <c r="F22">
        <f>SUMIFS('Registro diario'!J$3:J$202,'Registro diario'!B$3:B$202,A22)</f>
        <v/>
      </c>
      <c r="G22">
        <f>SUMIFS('Registro diario'!K$3:K$202,'Registro diario'!B$3:B$202,A22)</f>
        <v/>
      </c>
      <c r="H22">
        <f>E22*Modelo!$B$10</f>
        <v/>
      </c>
    </row>
    <row r="23">
      <c r="A23" t="n">
        <v>12</v>
      </c>
      <c r="B23">
        <f>SUMIFS('Registro diario'!E$3:E$202,'Registro diario'!B$3:B$202,A23)</f>
        <v/>
      </c>
      <c r="C23">
        <f>SUMIFS('Registro diario'!F$3:F$202,'Registro diario'!B$3:B$202,A23)</f>
        <v/>
      </c>
      <c r="D23" s="11">
        <f>IF(B23=0,"",(B23-C23)/B23)</f>
        <v/>
      </c>
      <c r="E23">
        <f>SUMIFS('Registro diario'!I$3:I$202,'Registro diario'!B$3:B$202,A23)</f>
        <v/>
      </c>
      <c r="F23">
        <f>SUMIFS('Registro diario'!J$3:J$202,'Registro diario'!B$3:B$202,A23)</f>
        <v/>
      </c>
      <c r="G23">
        <f>SUMIFS('Registro diario'!K$3:K$202,'Registro diario'!B$3:B$202,A23)</f>
        <v/>
      </c>
      <c r="H23">
        <f>E23*Modelo!$B$10</f>
        <v/>
      </c>
    </row>
    <row r="24">
      <c r="A24" t="n">
        <v>13</v>
      </c>
      <c r="B24">
        <f>SUMIFS('Registro diario'!E$3:E$202,'Registro diario'!B$3:B$202,A24)</f>
        <v/>
      </c>
      <c r="C24">
        <f>SUMIFS('Registro diario'!F$3:F$202,'Registro diario'!B$3:B$202,A24)</f>
        <v/>
      </c>
      <c r="D24" s="11">
        <f>IF(B24=0,"",(B24-C24)/B24)</f>
        <v/>
      </c>
      <c r="E24">
        <f>SUMIFS('Registro diario'!I$3:I$202,'Registro diario'!B$3:B$202,A24)</f>
        <v/>
      </c>
      <c r="F24">
        <f>SUMIFS('Registro diario'!J$3:J$202,'Registro diario'!B$3:B$202,A24)</f>
        <v/>
      </c>
      <c r="G24">
        <f>SUMIFS('Registro diario'!K$3:K$202,'Registro diario'!B$3:B$202,A24)</f>
        <v/>
      </c>
      <c r="H24">
        <f>E24*Modelo!$B$10</f>
        <v/>
      </c>
    </row>
    <row r="25">
      <c r="A25" t="n">
        <v>14</v>
      </c>
      <c r="B25">
        <f>SUMIFS('Registro diario'!E$3:E$202,'Registro diario'!B$3:B$202,A25)</f>
        <v/>
      </c>
      <c r="C25">
        <f>SUMIFS('Registro diario'!F$3:F$202,'Registro diario'!B$3:B$202,A25)</f>
        <v/>
      </c>
      <c r="D25" s="11">
        <f>IF(B25=0,"",(B25-C25)/B25)</f>
        <v/>
      </c>
      <c r="E25">
        <f>SUMIFS('Registro diario'!I$3:I$202,'Registro diario'!B$3:B$202,A25)</f>
        <v/>
      </c>
      <c r="F25">
        <f>SUMIFS('Registro diario'!J$3:J$202,'Registro diario'!B$3:B$202,A25)</f>
        <v/>
      </c>
      <c r="G25">
        <f>SUMIFS('Registro diario'!K$3:K$202,'Registro diario'!B$3:B$202,A25)</f>
        <v/>
      </c>
      <c r="H25">
        <f>E25*Modelo!$B$10</f>
        <v/>
      </c>
    </row>
    <row r="26">
      <c r="A26" t="n">
        <v>15</v>
      </c>
      <c r="B26">
        <f>SUMIFS('Registro diario'!E$3:E$202,'Registro diario'!B$3:B$202,A26)</f>
        <v/>
      </c>
      <c r="C26">
        <f>SUMIFS('Registro diario'!F$3:F$202,'Registro diario'!B$3:B$202,A26)</f>
        <v/>
      </c>
      <c r="D26" s="11">
        <f>IF(B26=0,"",(B26-C26)/B26)</f>
        <v/>
      </c>
      <c r="E26">
        <f>SUMIFS('Registro diario'!I$3:I$202,'Registro diario'!B$3:B$202,A26)</f>
        <v/>
      </c>
      <c r="F26">
        <f>SUMIFS('Registro diario'!J$3:J$202,'Registro diario'!B$3:B$202,A26)</f>
        <v/>
      </c>
      <c r="G26">
        <f>SUMIFS('Registro diario'!K$3:K$202,'Registro diario'!B$3:B$202,A26)</f>
        <v/>
      </c>
      <c r="H26">
        <f>E26*Modelo!$B$10</f>
        <v/>
      </c>
    </row>
    <row r="27">
      <c r="A27" t="n">
        <v>16</v>
      </c>
      <c r="B27">
        <f>SUMIFS('Registro diario'!E$3:E$202,'Registro diario'!B$3:B$202,A27)</f>
        <v/>
      </c>
      <c r="C27">
        <f>SUMIFS('Registro diario'!F$3:F$202,'Registro diario'!B$3:B$202,A27)</f>
        <v/>
      </c>
      <c r="D27" s="11">
        <f>IF(B27=0,"",(B27-C27)/B27)</f>
        <v/>
      </c>
      <c r="E27">
        <f>SUMIFS('Registro diario'!I$3:I$202,'Registro diario'!B$3:B$202,A27)</f>
        <v/>
      </c>
      <c r="F27">
        <f>SUMIFS('Registro diario'!J$3:J$202,'Registro diario'!B$3:B$202,A27)</f>
        <v/>
      </c>
      <c r="G27">
        <f>SUMIFS('Registro diario'!K$3:K$202,'Registro diario'!B$3:B$202,A27)</f>
        <v/>
      </c>
      <c r="H27">
        <f>E27*Modelo!$B$10</f>
        <v/>
      </c>
    </row>
    <row r="28">
      <c r="A28" t="n">
        <v>17</v>
      </c>
      <c r="B28">
        <f>SUMIFS('Registro diario'!E$3:E$202,'Registro diario'!B$3:B$202,A28)</f>
        <v/>
      </c>
      <c r="C28">
        <f>SUMIFS('Registro diario'!F$3:F$202,'Registro diario'!B$3:B$202,A28)</f>
        <v/>
      </c>
      <c r="D28" s="11">
        <f>IF(B28=0,"",(B28-C28)/B28)</f>
        <v/>
      </c>
      <c r="E28">
        <f>SUMIFS('Registro diario'!I$3:I$202,'Registro diario'!B$3:B$202,A28)</f>
        <v/>
      </c>
      <c r="F28">
        <f>SUMIFS('Registro diario'!J$3:J$202,'Registro diario'!B$3:B$202,A28)</f>
        <v/>
      </c>
      <c r="G28">
        <f>SUMIFS('Registro diario'!K$3:K$202,'Registro diario'!B$3:B$202,A28)</f>
        <v/>
      </c>
      <c r="H28">
        <f>E28*Modelo!$B$10</f>
        <v/>
      </c>
    </row>
    <row r="29">
      <c r="A29" t="n">
        <v>18</v>
      </c>
      <c r="B29">
        <f>SUMIFS('Registro diario'!E$3:E$202,'Registro diario'!B$3:B$202,A29)</f>
        <v/>
      </c>
      <c r="C29">
        <f>SUMIFS('Registro diario'!F$3:F$202,'Registro diario'!B$3:B$202,A29)</f>
        <v/>
      </c>
      <c r="D29" s="11">
        <f>IF(B29=0,"",(B29-C29)/B29)</f>
        <v/>
      </c>
      <c r="E29">
        <f>SUMIFS('Registro diario'!I$3:I$202,'Registro diario'!B$3:B$202,A29)</f>
        <v/>
      </c>
      <c r="F29">
        <f>SUMIFS('Registro diario'!J$3:J$202,'Registro diario'!B$3:B$202,A29)</f>
        <v/>
      </c>
      <c r="G29">
        <f>SUMIFS('Registro diario'!K$3:K$202,'Registro diario'!B$3:B$202,A29)</f>
        <v/>
      </c>
      <c r="H29">
        <f>E29*Modelo!$B$10</f>
        <v/>
      </c>
    </row>
    <row r="30">
      <c r="A30" t="n">
        <v>19</v>
      </c>
      <c r="B30">
        <f>SUMIFS('Registro diario'!E$3:E$202,'Registro diario'!B$3:B$202,A30)</f>
        <v/>
      </c>
      <c r="C30">
        <f>SUMIFS('Registro diario'!F$3:F$202,'Registro diario'!B$3:B$202,A30)</f>
        <v/>
      </c>
      <c r="D30" s="11">
        <f>IF(B30=0,"",(B30-C30)/B30)</f>
        <v/>
      </c>
      <c r="E30">
        <f>SUMIFS('Registro diario'!I$3:I$202,'Registro diario'!B$3:B$202,A30)</f>
        <v/>
      </c>
      <c r="F30">
        <f>SUMIFS('Registro diario'!J$3:J$202,'Registro diario'!B$3:B$202,A30)</f>
        <v/>
      </c>
      <c r="G30">
        <f>SUMIFS('Registro diario'!K$3:K$202,'Registro diario'!B$3:B$202,A30)</f>
        <v/>
      </c>
      <c r="H30">
        <f>E30*Modelo!$B$10</f>
        <v/>
      </c>
    </row>
    <row r="31">
      <c r="A31" t="n">
        <v>20</v>
      </c>
      <c r="B31">
        <f>SUMIFS('Registro diario'!E$3:E$202,'Registro diario'!B$3:B$202,A31)</f>
        <v/>
      </c>
      <c r="C31">
        <f>SUMIFS('Registro diario'!F$3:F$202,'Registro diario'!B$3:B$202,A31)</f>
        <v/>
      </c>
      <c r="D31" s="11">
        <f>IF(B31=0,"",(B31-C31)/B31)</f>
        <v/>
      </c>
      <c r="E31">
        <f>SUMIFS('Registro diario'!I$3:I$202,'Registro diario'!B$3:B$202,A31)</f>
        <v/>
      </c>
      <c r="F31">
        <f>SUMIFS('Registro diario'!J$3:J$202,'Registro diario'!B$3:B$202,A31)</f>
        <v/>
      </c>
      <c r="G31">
        <f>SUMIFS('Registro diario'!K$3:K$202,'Registro diario'!B$3:B$202,A31)</f>
        <v/>
      </c>
      <c r="H31">
        <f>E31*Modelo!$B$10</f>
        <v/>
      </c>
    </row>
    <row r="32">
      <c r="A32" t="n">
        <v>21</v>
      </c>
      <c r="B32">
        <f>SUMIFS('Registro diario'!E$3:E$202,'Registro diario'!B$3:B$202,A32)</f>
        <v/>
      </c>
      <c r="C32">
        <f>SUMIFS('Registro diario'!F$3:F$202,'Registro diario'!B$3:B$202,A32)</f>
        <v/>
      </c>
      <c r="D32" s="11">
        <f>IF(B32=0,"",(B32-C32)/B32)</f>
        <v/>
      </c>
      <c r="E32">
        <f>SUMIFS('Registro diario'!I$3:I$202,'Registro diario'!B$3:B$202,A32)</f>
        <v/>
      </c>
      <c r="F32">
        <f>SUMIFS('Registro diario'!J$3:J$202,'Registro diario'!B$3:B$202,A32)</f>
        <v/>
      </c>
      <c r="G32">
        <f>SUMIFS('Registro diario'!K$3:K$202,'Registro diario'!B$3:B$202,A32)</f>
        <v/>
      </c>
      <c r="H32">
        <f>E32*Modelo!$B$10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2026-10-15T20:58:32Z</dcterms:created>
  <dcterms:modified xsi:type="dcterms:W3CDTF">2026-10-15T20:58:49Z</dcterms:modified>
</cp:coreProperties>
</file>